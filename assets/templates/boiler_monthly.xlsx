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ums\assets\templates\"/>
    </mc:Choice>
  </mc:AlternateContent>
  <xr:revisionPtr revIDLastSave="0" documentId="13_ncr:1_{B87C44E9-BBE9-4FB2-AAE1-FE909B74B6CF}" xr6:coauthVersionLast="47" xr6:coauthVersionMax="47" xr10:uidLastSave="{00000000-0000-0000-0000-000000000000}"/>
  <bookViews>
    <workbookView xWindow="-120" yWindow="-120" windowWidth="29040" windowHeight="15720" tabRatio="613" xr2:uid="{5E9F254D-515C-4340-8E2B-AEB470D3BA20}"/>
  </bookViews>
  <sheets>
    <sheet name="Jan' 23" sheetId="54" r:id="rId1"/>
    <sheet name="Summary" sheetId="5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" i="54" l="1"/>
  <c r="R101" i="54"/>
  <c r="Q101" i="54"/>
  <c r="P101" i="54"/>
  <c r="O101" i="54"/>
  <c r="N101" i="54"/>
  <c r="M101" i="54"/>
  <c r="L101" i="54"/>
  <c r="K101" i="54"/>
  <c r="J101" i="54"/>
  <c r="I101" i="54"/>
  <c r="H101" i="54"/>
  <c r="E101" i="54"/>
  <c r="K100" i="54"/>
  <c r="J100" i="54"/>
  <c r="I100" i="54"/>
  <c r="H100" i="54"/>
  <c r="E100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5" authorId="0" shapeId="0" xr:uid="{61943158-38A2-432C-BF30-AF4E7838F2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P5" authorId="0" shapeId="0" xr:uid="{BCBADE63-224C-4419-9BAA-FE8ADB4B2F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R5" authorId="0" shapeId="0" xr:uid="{247800FC-8E77-4943-8F88-AB834DDD44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M102" authorId="0" shapeId="0" xr:uid="{CBD3BC0A-3F41-4CE2-B859-BF431BC513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P102" authorId="0" shapeId="0" xr:uid="{04E250C8-C49F-4B31-ABDB-4902ACE7C9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R102" authorId="0" shapeId="0" xr:uid="{1A9B9246-F92E-48EB-BB53-0DF4672C4F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6" authorId="0" shapeId="0" xr:uid="{1C604122-2B42-42F9-81D2-C867A89C23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</commentList>
</comments>
</file>

<file path=xl/sharedStrings.xml><?xml version="1.0" encoding="utf-8"?>
<sst xmlns="http://schemas.openxmlformats.org/spreadsheetml/2006/main" count="201" uniqueCount="50">
  <si>
    <t>LPG</t>
  </si>
  <si>
    <t>Start</t>
  </si>
  <si>
    <t>End</t>
  </si>
  <si>
    <t>Use</t>
  </si>
  <si>
    <t xml:space="preserve">LPG consumption </t>
  </si>
  <si>
    <t>Flow meter (m3)</t>
  </si>
  <si>
    <t>Boiler No.1</t>
  </si>
  <si>
    <t>Blow down</t>
  </si>
  <si>
    <t>min</t>
  </si>
  <si>
    <t>Power</t>
  </si>
  <si>
    <t>kWh</t>
  </si>
  <si>
    <t>Date</t>
  </si>
  <si>
    <t>Boiler No.2</t>
  </si>
  <si>
    <t>pH</t>
  </si>
  <si>
    <t>Soft water</t>
  </si>
  <si>
    <t>Feed water</t>
  </si>
  <si>
    <t>Boiler water</t>
  </si>
  <si>
    <t>(&lt;3500 ppm)</t>
  </si>
  <si>
    <t>(8.5-11.8)</t>
  </si>
  <si>
    <t>(5.8-9.5)</t>
  </si>
  <si>
    <t>Total Dissolved Solid (TDS)</t>
  </si>
  <si>
    <t>Total Hardness  ppm as CaCO3</t>
  </si>
  <si>
    <t>(&lt;10)</t>
  </si>
  <si>
    <t>Operate by</t>
  </si>
  <si>
    <t>Remark</t>
  </si>
  <si>
    <t xml:space="preserve">Feed Water consumption </t>
  </si>
  <si>
    <t>Operate time</t>
  </si>
  <si>
    <t>(hour)</t>
  </si>
  <si>
    <t>Total</t>
  </si>
  <si>
    <t>Avg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</si>
  <si>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</si>
  <si>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</si>
  <si>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</si>
  <si>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</si>
  <si>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</si>
  <si>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</si>
  <si>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</si>
  <si>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</si>
  <si>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</si>
  <si>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</si>
  <si>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</si>
  <si>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</si>
  <si>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</si>
  <si>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Average</t>
  </si>
  <si>
    <t>2 shift</t>
  </si>
  <si>
    <t>Boiler No.3</t>
  </si>
  <si>
    <t xml:space="preserve">  </t>
  </si>
  <si>
    <t xml:space="preserve">                                              </t>
  </si>
  <si>
    <t>Daily Record of Boiler Operation (Jan '23)</t>
  </si>
  <si>
    <t>Daily Record of Boiler (Jan - 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</si>
</sst>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FF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9933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vertical="center" wrapText="1"/>
    </xf>
    <xf numFmtId="166" fontId="7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166" fontId="9" fillId="0" borderId="1" xfId="1" applyNumberFormat="1" applyFont="1" applyBorder="1" applyAlignment="1">
      <alignment horizontal="right" vertical="center"/>
    </xf>
    <xf numFmtId="2" fontId="0" fillId="2" borderId="1" xfId="1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6" fillId="4" borderId="1" xfId="2" applyFill="1" applyBorder="1" applyAlignment="1">
      <alignment horizontal="center" vertical="center"/>
    </xf>
    <xf numFmtId="0" fontId="0" fillId="0" borderId="1" xfId="0" applyBorder="1"/>
    <xf numFmtId="165" fontId="0" fillId="2" borderId="1" xfId="1" applyNumberFormat="1" applyFont="1" applyFill="1" applyBorder="1" applyAlignment="1">
      <alignment horizontal="right" vertical="center"/>
    </xf>
    <xf numFmtId="2" fontId="0" fillId="2" borderId="1" xfId="1" applyNumberFormat="1" applyFont="1" applyFill="1" applyBorder="1" applyAlignment="1">
      <alignment horizontal="right" vertical="center"/>
    </xf>
    <xf numFmtId="165" fontId="0" fillId="0" borderId="1" xfId="1" applyNumberFormat="1" applyFont="1" applyFill="1" applyBorder="1" applyAlignment="1">
      <alignment horizontal="right" vertical="center"/>
    </xf>
    <xf numFmtId="164" fontId="0" fillId="2" borderId="1" xfId="1" applyNumberFormat="1" applyFont="1" applyFill="1" applyBorder="1" applyAlignment="1">
      <alignment horizontal="right" vertical="center"/>
    </xf>
    <xf numFmtId="2" fontId="0" fillId="2" borderId="1" xfId="1" applyNumberFormat="1" applyFont="1" applyFill="1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165" fontId="0" fillId="2" borderId="1" xfId="0" applyNumberFormat="1" applyFill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1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99FF"/>
      </font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99FFCC"/>
        </patternFill>
      </fill>
    </dxf>
    <dxf>
      <font>
        <color auto="1"/>
      </font>
      <fill>
        <patternFill>
          <bgColor rgb="FFFFCCFF"/>
        </patternFill>
      </fill>
    </dxf>
    <dxf>
      <fill>
        <patternFill>
          <bgColor rgb="FF66CCFF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CC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9FFCC"/>
        </patternFill>
      </fill>
    </dxf>
    <dxf>
      <font>
        <color auto="1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0000FF"/>
      <color rgb="FF006666"/>
      <color rgb="FFCC6600"/>
      <color rgb="FF0066FF"/>
      <color rgb="FF9933FF"/>
      <color rgb="FFCC99FF"/>
      <color rgb="FFCCCCFF"/>
      <color rgb="FFFFCCFF"/>
      <color rgb="FFCC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33FF"/>
                </a:solidFill>
              </a:rPr>
              <a:t>LPG and Feed Water Consumption of Boiler on Feb</a:t>
            </a:r>
            <a:r>
              <a:rPr lang="en-US" baseline="0">
                <a:solidFill>
                  <a:srgbClr val="9933FF"/>
                </a:solidFill>
              </a:rPr>
              <a:t> </a:t>
            </a:r>
            <a:r>
              <a:rPr lang="en-US">
                <a:solidFill>
                  <a:srgbClr val="9933FF"/>
                </a:solidFill>
              </a:rPr>
              <a:t> ,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637309653473938E-2"/>
          <c:y val="0.11279265645559285"/>
          <c:w val="0.81436414721287598"/>
          <c:h val="0.655240608354275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'Jan'' 23'!$C$4:$E$4</c:f>
              <c:strCache>
                <c:ptCount val="1"/>
                <c:pt idx="0">
                  <c:v>LPG consumption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dLbl>
              <c:idx val="32"/>
              <c:layout>
                <c:manualLayout>
                  <c:x val="-1.8367718570263099E-2"/>
                  <c:y val="-3.04105301848457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CB-4724-8E8C-989BD10D719A}"/>
                </c:ext>
              </c:extLst>
            </c:dLbl>
            <c:dLbl>
              <c:idx val="34"/>
              <c:layout>
                <c:manualLayout>
                  <c:x val="0"/>
                  <c:y val="-4.8656848295753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CB-4724-8E8C-989BD10D719A}"/>
                </c:ext>
              </c:extLst>
            </c:dLbl>
            <c:dLbl>
              <c:idx val="35"/>
              <c:layout>
                <c:manualLayout>
                  <c:x val="1.6697925972966145E-3"/>
                  <c:y val="-5.1697901314237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CB-4724-8E8C-989BD10D719A}"/>
                </c:ext>
              </c:extLst>
            </c:dLbl>
            <c:dLbl>
              <c:idx val="37"/>
              <c:layout>
                <c:manualLayout>
                  <c:x val="1.6697925972966453E-3"/>
                  <c:y val="-3.6492636221814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CB-4724-8E8C-989BD10D719A}"/>
                </c:ext>
              </c:extLst>
            </c:dLbl>
            <c:dLbl>
              <c:idx val="38"/>
              <c:layout>
                <c:manualLayout>
                  <c:x val="5.00937779188990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CB-4724-8E8C-989BD10D719A}"/>
                </c:ext>
              </c:extLst>
            </c:dLbl>
            <c:dLbl>
              <c:idx val="40"/>
              <c:layout>
                <c:manualLayout>
                  <c:x val="5.009377791889905E-3"/>
                  <c:y val="-2.1287371129392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CB-4724-8E8C-989BD10D719A}"/>
                </c:ext>
              </c:extLst>
            </c:dLbl>
            <c:dLbl>
              <c:idx val="41"/>
              <c:layout>
                <c:manualLayout>
                  <c:x val="8.8105726872245403E-3"/>
                  <c:y val="-1.5205265092422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CB-4724-8E8C-989BD10D719A}"/>
                </c:ext>
              </c:extLst>
            </c:dLbl>
            <c:dLbl>
              <c:idx val="43"/>
              <c:layout>
                <c:manualLayout>
                  <c:x val="-1.0018755583779933E-2"/>
                  <c:y val="-9.1231590554537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CB-4724-8E8C-989BD10D719A}"/>
                </c:ext>
              </c:extLst>
            </c:dLbl>
            <c:dLbl>
              <c:idx val="44"/>
              <c:layout>
                <c:manualLayout>
                  <c:x val="-6.1225021290873171E-17"/>
                  <c:y val="1.2164212073938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CB-4724-8E8C-989BD10D719A}"/>
                </c:ext>
              </c:extLst>
            </c:dLbl>
            <c:dLbl>
              <c:idx val="49"/>
              <c:layout>
                <c:manualLayout>
                  <c:x val="1.6697925972966453E-3"/>
                  <c:y val="3.04105301848457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CB-4724-8E8C-989BD10D719A}"/>
                </c:ext>
              </c:extLst>
            </c:dLbl>
            <c:dLbl>
              <c:idx val="50"/>
              <c:layout>
                <c:manualLayout>
                  <c:x val="1.762114537444934E-3"/>
                  <c:y val="-2.1287371129392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CB-4724-8E8C-989BD10D719A}"/>
                </c:ext>
              </c:extLst>
            </c:dLbl>
            <c:dLbl>
              <c:idx val="52"/>
              <c:layout>
                <c:manualLayout>
                  <c:x val="-8.3489629864832264E-3"/>
                  <c:y val="-6.08210603696914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CB-4724-8E8C-989BD10D71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'Jan'' 23'!$A$7:$A$96</c:f>
              <c:numCache>
                <c:formatCode>General</c:formatCode>
                <c:ptCount val="90"/>
                <c:pt idx="0">
                  <c:v>1</c:v>
                </c:pt>
                <c:pt idx="3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5">
                  <c:v>6</c:v>
                </c:pt>
                <c:pt idx="18">
                  <c:v>7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  <c:pt idx="30">
                  <c:v>11</c:v>
                </c:pt>
                <c:pt idx="33">
                  <c:v>12</c:v>
                </c:pt>
                <c:pt idx="36">
                  <c:v>13</c:v>
                </c:pt>
                <c:pt idx="39">
                  <c:v>14</c:v>
                </c:pt>
                <c:pt idx="42">
                  <c:v>15</c:v>
                </c:pt>
                <c:pt idx="45">
                  <c:v>16</c:v>
                </c:pt>
                <c:pt idx="48">
                  <c:v>17</c:v>
                </c:pt>
                <c:pt idx="51">
                  <c:v>18</c:v>
                </c:pt>
                <c:pt idx="54">
                  <c:v>19</c:v>
                </c:pt>
                <c:pt idx="57">
                  <c:v>20</c:v>
                </c:pt>
                <c:pt idx="60">
                  <c:v>21</c:v>
                </c:pt>
                <c:pt idx="63">
                  <c:v>22</c:v>
                </c:pt>
                <c:pt idx="66">
                  <c:v>23</c:v>
                </c:pt>
                <c:pt idx="69">
                  <c:v>24</c:v>
                </c:pt>
                <c:pt idx="72">
                  <c:v>25</c:v>
                </c:pt>
                <c:pt idx="75">
                  <c:v>26</c:v>
                </c:pt>
                <c:pt idx="78">
                  <c:v>27</c:v>
                </c:pt>
                <c:pt idx="81">
                  <c:v>28</c:v>
                </c:pt>
                <c:pt idx="84">
                  <c:v>29</c:v>
                </c:pt>
                <c:pt idx="87">
                  <c:v>30</c:v>
                </c:pt>
              </c:numCache>
            </c:numRef>
          </c:cat>
          <c:val>
            <c:numRef>
              <c:f>'Jan'' 23'!$E$8:$E$99</c:f>
              <c:numCache>
                <c:formatCode>#,##0.0</c:formatCode>
                <c:ptCount val="92"/>
              </c:numCache>
            </c:numRef>
          </c:val>
          <c:extLst>
            <c:ext xmlns:c16="http://schemas.microsoft.com/office/drawing/2014/chart" uri="{C3380CC4-5D6E-409C-BE32-E72D297353CC}">
              <c16:uniqueId val="{0000000C-D5CB-4724-8E8C-989BD10D7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3342784"/>
        <c:axId val="463346392"/>
      </c:barChart>
      <c:lineChart>
        <c:grouping val="standard"/>
        <c:varyColors val="0"/>
        <c:ser>
          <c:idx val="1"/>
          <c:order val="1"/>
          <c:tx>
            <c:strRef>
              <c:f>'Jan'' 23'!$F$4:$H$4</c:f>
              <c:strCache>
                <c:ptCount val="1"/>
                <c:pt idx="0">
                  <c:v>Feed Water consumption 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32"/>
              <c:layout>
                <c:manualLayout>
                  <c:x val="-3.3395851945932906E-2"/>
                  <c:y val="0.18246318110907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5CB-4724-8E8C-989BD10D719A}"/>
                </c:ext>
              </c:extLst>
            </c:dLbl>
            <c:dLbl>
              <c:idx val="34"/>
              <c:layout>
                <c:manualLayout>
                  <c:x val="-2.8386474154042968E-2"/>
                  <c:y val="0.261530559589673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CB-4724-8E8C-989BD10D719A}"/>
                </c:ext>
              </c:extLst>
            </c:dLbl>
            <c:dLbl>
              <c:idx val="35"/>
              <c:layout>
                <c:manualLayout>
                  <c:x val="-2.6716681556746353E-2"/>
                  <c:y val="0.188545287146043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CB-4724-8E8C-989BD10D719A}"/>
                </c:ext>
              </c:extLst>
            </c:dLbl>
            <c:dLbl>
              <c:idx val="37"/>
              <c:layout>
                <c:manualLayout>
                  <c:x val="-2.5046888959449679E-2"/>
                  <c:y val="0.179422128090589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5CB-4724-8E8C-989BD10D719A}"/>
                </c:ext>
              </c:extLst>
            </c:dLbl>
            <c:dLbl>
              <c:idx val="38"/>
              <c:layout>
                <c:manualLayout>
                  <c:x val="-2.6716681556746353E-2"/>
                  <c:y val="0.152052650924228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5CB-4724-8E8C-989BD10D719A}"/>
                </c:ext>
              </c:extLst>
            </c:dLbl>
            <c:dLbl>
              <c:idx val="40"/>
              <c:layout>
                <c:manualLayout>
                  <c:x val="-3.5872998321400687E-2"/>
                  <c:y val="9.1231590554537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5CB-4724-8E8C-989BD10D719A}"/>
                </c:ext>
              </c:extLst>
            </c:dLbl>
            <c:dLbl>
              <c:idx val="43"/>
              <c:layout>
                <c:manualLayout>
                  <c:x val="-3.3395851945932968E-2"/>
                  <c:y val="0.124683173757867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5CB-4724-8E8C-989BD10D719A}"/>
                </c:ext>
              </c:extLst>
            </c:dLbl>
            <c:dLbl>
              <c:idx val="44"/>
              <c:layout>
                <c:manualLayout>
                  <c:x val="-3.172605934863626E-2"/>
                  <c:y val="0.218955817330889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5CB-4724-8E8C-989BD10D719A}"/>
                </c:ext>
              </c:extLst>
            </c:dLbl>
            <c:dLbl>
              <c:idx val="46"/>
              <c:layout>
                <c:manualLayout>
                  <c:x val="-2.8386474154043093E-2"/>
                  <c:y val="0.185504234127559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5CB-4724-8E8C-989BD10D719A}"/>
                </c:ext>
              </c:extLst>
            </c:dLbl>
            <c:dLbl>
              <c:idx val="47"/>
              <c:layout>
                <c:manualLayout>
                  <c:x val="-2.6716681556746447E-2"/>
                  <c:y val="0.167257916016651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5CB-4724-8E8C-989BD10D719A}"/>
                </c:ext>
              </c:extLst>
            </c:dLbl>
            <c:dLbl>
              <c:idx val="49"/>
              <c:layout>
                <c:manualLayout>
                  <c:x val="-2.3377096362153155E-2"/>
                  <c:y val="0.161175809979682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5CB-4724-8E8C-989BD10D719A}"/>
                </c:ext>
              </c:extLst>
            </c:dLbl>
            <c:dLbl>
              <c:idx val="52"/>
              <c:layout>
                <c:manualLayout>
                  <c:x val="-2.6716681556746325E-2"/>
                  <c:y val="0.20983265827543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5CB-4724-8E8C-989BD10D719A}"/>
                </c:ext>
              </c:extLst>
            </c:dLbl>
            <c:dLbl>
              <c:idx val="71"/>
              <c:layout>
                <c:manualLayout>
                  <c:x val="1.5407191446120286E-3"/>
                  <c:y val="-6.3862113388176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5CB-4724-8E8C-989BD10D719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}</c:f>
            </c:multiLvlStrRef>
          </c:cat>
          <c:val>
            <c:numRef>
              <c:f>'Jan'' 23'!$H$8:$H$99</c:f>
              <c:numCache>
                <c:formatCode>#,##0.0</c:formatCode>
                <c:ptCount val="9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CB-4724-8E8C-989BD10D7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651824"/>
        <c:axId val="422643296"/>
      </c:lineChart>
      <c:catAx>
        <c:axId val="463342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6392"/>
        <c:crosses val="autoZero"/>
        <c:auto val="1"/>
        <c:lblAlgn val="ctr"/>
        <c:lblOffset val="100"/>
        <c:noMultiLvlLbl val="0"/>
      </c:catAx>
      <c:valAx>
        <c:axId val="46334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LPG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2784"/>
        <c:crosses val="autoZero"/>
        <c:crossBetween val="between"/>
      </c:valAx>
      <c:valAx>
        <c:axId val="422643296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00FF"/>
                    </a:solidFill>
                  </a:rPr>
                  <a:t>Feed Water (m3)</a:t>
                </a:r>
              </a:p>
            </c:rich>
          </c:tx>
          <c:layout>
            <c:manualLayout>
              <c:xMode val="edge"/>
              <c:yMode val="edge"/>
              <c:x val="0.94148891740955276"/>
              <c:y val="0.32647236652590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51824"/>
        <c:crosses val="max"/>
        <c:crossBetween val="between"/>
      </c:valAx>
      <c:catAx>
        <c:axId val="42265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643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0000"/>
                </a:solidFill>
              </a:rPr>
              <a:t>Operate time and Power of Boiler on Feb , 2022</a:t>
            </a:r>
          </a:p>
        </c:rich>
      </c:tx>
      <c:layout>
        <c:manualLayout>
          <c:xMode val="edge"/>
          <c:yMode val="edge"/>
          <c:x val="0.25973329697521652"/>
          <c:y val="3.0033367781054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'Jan'' 23'!$I$4:$I$5</c:f>
              <c:strCache>
                <c:ptCount val="2"/>
                <c:pt idx="0">
                  <c:v>Operate time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dLbl>
              <c:idx val="32"/>
              <c:layout>
                <c:manualLayout>
                  <c:x val="-1.6838505605167288E-2"/>
                  <c:y val="-3.33704086456165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BC-495C-AB13-1F5139CA9067}"/>
                </c:ext>
              </c:extLst>
            </c:dLbl>
            <c:dLbl>
              <c:idx val="34"/>
              <c:layout>
                <c:manualLayout>
                  <c:x val="-1.1786953923617092E-2"/>
                  <c:y val="3.33704086456159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BC-495C-AB13-1F5139CA9067}"/>
                </c:ext>
              </c:extLst>
            </c:dLbl>
            <c:dLbl>
              <c:idx val="37"/>
              <c:layout>
                <c:manualLayout>
                  <c:x val="0"/>
                  <c:y val="-3.6707449510177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BC-495C-AB13-1F5139CA9067}"/>
                </c:ext>
              </c:extLst>
            </c:dLbl>
            <c:dLbl>
              <c:idx val="40"/>
              <c:layout>
                <c:manualLayout>
                  <c:x val="8.3253814485012567E-3"/>
                  <c:y val="1.0011122593684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BC-495C-AB13-1F5139CA9067}"/>
                </c:ext>
              </c:extLst>
            </c:dLbl>
            <c:dLbl>
              <c:idx val="43"/>
              <c:layout>
                <c:manualLayout>
                  <c:x val="-8.4192528025836978E-3"/>
                  <c:y val="6.67408172912319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BC-495C-AB13-1F5139CA9067}"/>
                </c:ext>
              </c:extLst>
            </c:dLbl>
            <c:dLbl>
              <c:idx val="49"/>
              <c:layout>
                <c:manualLayout>
                  <c:x val="1.1786953923616969E-2"/>
                  <c:y val="6.67408172912319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BC-495C-AB13-1F5139CA9067}"/>
                </c:ext>
              </c:extLst>
            </c:dLbl>
            <c:dLbl>
              <c:idx val="50"/>
              <c:layout>
                <c:manualLayout>
                  <c:x val="1.757208694895577E-3"/>
                  <c:y val="-1.3348163458246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BC-495C-AB13-1F5139CA9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'Jan'' 23'!$A$7:$A$96</c:f>
              <c:numCache>
                <c:formatCode>General</c:formatCode>
                <c:ptCount val="90"/>
                <c:pt idx="0">
                  <c:v>1</c:v>
                </c:pt>
                <c:pt idx="3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5">
                  <c:v>6</c:v>
                </c:pt>
                <c:pt idx="18">
                  <c:v>7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  <c:pt idx="30">
                  <c:v>11</c:v>
                </c:pt>
                <c:pt idx="33">
                  <c:v>12</c:v>
                </c:pt>
                <c:pt idx="36">
                  <c:v>13</c:v>
                </c:pt>
                <c:pt idx="39">
                  <c:v>14</c:v>
                </c:pt>
                <c:pt idx="42">
                  <c:v>15</c:v>
                </c:pt>
                <c:pt idx="45">
                  <c:v>16</c:v>
                </c:pt>
                <c:pt idx="48">
                  <c:v>17</c:v>
                </c:pt>
                <c:pt idx="51">
                  <c:v>18</c:v>
                </c:pt>
                <c:pt idx="54">
                  <c:v>19</c:v>
                </c:pt>
                <c:pt idx="57">
                  <c:v>20</c:v>
                </c:pt>
                <c:pt idx="60">
                  <c:v>21</c:v>
                </c:pt>
                <c:pt idx="63">
                  <c:v>22</c:v>
                </c:pt>
                <c:pt idx="66">
                  <c:v>23</c:v>
                </c:pt>
                <c:pt idx="69">
                  <c:v>24</c:v>
                </c:pt>
                <c:pt idx="72">
                  <c:v>25</c:v>
                </c:pt>
                <c:pt idx="75">
                  <c:v>26</c:v>
                </c:pt>
                <c:pt idx="78">
                  <c:v>27</c:v>
                </c:pt>
                <c:pt idx="81">
                  <c:v>28</c:v>
                </c:pt>
                <c:pt idx="84">
                  <c:v>29</c:v>
                </c:pt>
                <c:pt idx="87">
                  <c:v>30</c:v>
                </c:pt>
              </c:numCache>
            </c:numRef>
          </c:cat>
          <c:val>
            <c:numRef>
              <c:f>'Jan'' 23'!$I$8:$I$99</c:f>
              <c:numCache>
                <c:formatCode>#,##0.0</c:formatCode>
                <c:ptCount val="92"/>
              </c:numCache>
            </c:numRef>
          </c:val>
          <c:extLst>
            <c:ext xmlns:c16="http://schemas.microsoft.com/office/drawing/2014/chart" uri="{C3380CC4-5D6E-409C-BE32-E72D297353CC}">
              <c16:uniqueId val="{00000007-52BC-495C-AB13-1F5139CA9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2645592"/>
        <c:axId val="422644608"/>
      </c:barChart>
      <c:lineChart>
        <c:grouping val="standard"/>
        <c:varyColors val="0"/>
        <c:ser>
          <c:idx val="1"/>
          <c:order val="1"/>
          <c:tx>
            <c:strRef>
              <c:f>'Jan'' 23'!$J$4:$J$5</c:f>
              <c:strCache>
                <c:ptCount val="2"/>
                <c:pt idx="0">
                  <c:v>Power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dLbl>
              <c:idx val="32"/>
              <c:layout>
                <c:manualLayout>
                  <c:x val="-2.862545952878438E-2"/>
                  <c:y val="0.160177961498956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BC-495C-AB13-1F5139CA9067}"/>
                </c:ext>
              </c:extLst>
            </c:dLbl>
            <c:dLbl>
              <c:idx val="34"/>
              <c:layout>
                <c:manualLayout>
                  <c:x val="-2.862545952878438E-2"/>
                  <c:y val="0.183537247550887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BC-495C-AB13-1F5139CA9067}"/>
                </c:ext>
              </c:extLst>
            </c:dLbl>
            <c:dLbl>
              <c:idx val="35"/>
              <c:layout>
                <c:manualLayout>
                  <c:x val="-2.5257758407750942E-2"/>
                  <c:y val="0.200222451873695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BC-495C-AB13-1F5139CA9067}"/>
                </c:ext>
              </c:extLst>
            </c:dLbl>
            <c:dLbl>
              <c:idx val="37"/>
              <c:layout>
                <c:manualLayout>
                  <c:x val="-2.6941608968267639E-2"/>
                  <c:y val="0.160177961498956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BC-495C-AB13-1F5139CA9067}"/>
                </c:ext>
              </c:extLst>
            </c:dLbl>
            <c:dLbl>
              <c:idx val="38"/>
              <c:layout>
                <c:manualLayout>
                  <c:x val="-3.9858731567305565E-2"/>
                  <c:y val="0.203559492738257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BC-495C-AB13-1F5139CA9067}"/>
                </c:ext>
              </c:extLst>
            </c:dLbl>
            <c:dLbl>
              <c:idx val="40"/>
              <c:layout>
                <c:manualLayout>
                  <c:x val="-2.5734274857711313E-2"/>
                  <c:y val="0.160177961498956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BC-495C-AB13-1F5139CA9067}"/>
                </c:ext>
              </c:extLst>
            </c:dLbl>
            <c:dLbl>
              <c:idx val="41"/>
              <c:layout>
                <c:manualLayout>
                  <c:x val="-3.0150327859297155E-2"/>
                  <c:y val="0.21357061533194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BC-495C-AB13-1F5139CA9067}"/>
                </c:ext>
              </c:extLst>
            </c:dLbl>
            <c:dLbl>
              <c:idx val="43"/>
              <c:layout>
                <c:manualLayout>
                  <c:x val="-2.5587368840305602E-2"/>
                  <c:y val="0.16351500236351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BC-495C-AB13-1F5139CA9067}"/>
                </c:ext>
              </c:extLst>
            </c:dLbl>
            <c:dLbl>
              <c:idx val="44"/>
              <c:layout>
                <c:manualLayout>
                  <c:x val="-3.9321092667864987E-2"/>
                  <c:y val="0.19354837014457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2BC-495C-AB13-1F5139CA9067}"/>
                </c:ext>
              </c:extLst>
            </c:dLbl>
            <c:dLbl>
              <c:idx val="46"/>
              <c:layout>
                <c:manualLayout>
                  <c:x val="-2.8896599245025113E-2"/>
                  <c:y val="0.16351500236351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2BC-495C-AB13-1F5139CA9067}"/>
                </c:ext>
              </c:extLst>
            </c:dLbl>
            <c:dLbl>
              <c:idx val="47"/>
              <c:layout>
                <c:manualLayout>
                  <c:x val="-2.0206206726200729E-2"/>
                  <c:y val="0.1902113292800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2BC-495C-AB13-1F5139CA9067}"/>
                </c:ext>
              </c:extLst>
            </c:dLbl>
            <c:dLbl>
              <c:idx val="49"/>
              <c:layout>
                <c:manualLayout>
                  <c:x val="-2.5963252016609928E-2"/>
                  <c:y val="0.18020020668632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2BC-495C-AB13-1F5139CA9067}"/>
                </c:ext>
              </c:extLst>
            </c:dLbl>
            <c:dLbl>
              <c:idx val="50"/>
              <c:layout>
                <c:manualLayout>
                  <c:x val="-3.2030728414463035E-2"/>
                  <c:y val="0.15016683890527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2BC-495C-AB13-1F5139CA9067}"/>
                </c:ext>
              </c:extLst>
            </c:dLbl>
            <c:dLbl>
              <c:idx val="52"/>
              <c:layout>
                <c:manualLayout>
                  <c:x val="-3.3839297280104035E-2"/>
                  <c:y val="0.190211329280011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2BC-495C-AB13-1F5139CA906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66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('Jan'' 23'!$A$7:$A$58,'Jan'' 23'!$A$60:$A$96)</c:f>
              <c:numCache>
                <c:formatCode>General</c:formatCode>
                <c:ptCount val="89"/>
                <c:pt idx="0">
                  <c:v>1</c:v>
                </c:pt>
                <c:pt idx="3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5">
                  <c:v>6</c:v>
                </c:pt>
                <c:pt idx="18">
                  <c:v>7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  <c:pt idx="30">
                  <c:v>11</c:v>
                </c:pt>
                <c:pt idx="33">
                  <c:v>12</c:v>
                </c:pt>
                <c:pt idx="36">
                  <c:v>13</c:v>
                </c:pt>
                <c:pt idx="39">
                  <c:v>14</c:v>
                </c:pt>
                <c:pt idx="42">
                  <c:v>15</c:v>
                </c:pt>
                <c:pt idx="45">
                  <c:v>16</c:v>
                </c:pt>
                <c:pt idx="48">
                  <c:v>17</c:v>
                </c:pt>
                <c:pt idx="51">
                  <c:v>18</c:v>
                </c:pt>
                <c:pt idx="53">
                  <c:v>19</c:v>
                </c:pt>
                <c:pt idx="56">
                  <c:v>20</c:v>
                </c:pt>
                <c:pt idx="59">
                  <c:v>21</c:v>
                </c:pt>
                <c:pt idx="62">
                  <c:v>22</c:v>
                </c:pt>
                <c:pt idx="65">
                  <c:v>23</c:v>
                </c:pt>
                <c:pt idx="68">
                  <c:v>24</c:v>
                </c:pt>
                <c:pt idx="71">
                  <c:v>25</c:v>
                </c:pt>
                <c:pt idx="74">
                  <c:v>26</c:v>
                </c:pt>
                <c:pt idx="77">
                  <c:v>27</c:v>
                </c:pt>
                <c:pt idx="80">
                  <c:v>28</c:v>
                </c:pt>
                <c:pt idx="83">
                  <c:v>29</c:v>
                </c:pt>
                <c:pt idx="86">
                  <c:v>30</c:v>
                </c:pt>
              </c:numCache>
            </c:numRef>
          </c:cat>
          <c:val>
            <c:numRef>
              <c:f>'Jan'' 23'!$J$8:$J$99</c:f>
              <c:numCache>
                <c:formatCode>#,##0.0</c:formatCode>
                <c:ptCount val="9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2BC-495C-AB13-1F5139CA9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238104"/>
        <c:axId val="538240728"/>
      </c:lineChart>
      <c:catAx>
        <c:axId val="422645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44608"/>
        <c:crosses val="autoZero"/>
        <c:auto val="1"/>
        <c:lblAlgn val="ctr"/>
        <c:lblOffset val="100"/>
        <c:noMultiLvlLbl val="0"/>
      </c:catAx>
      <c:valAx>
        <c:axId val="4226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B050"/>
                    </a:solidFill>
                  </a:rPr>
                  <a:t>Operate</a:t>
                </a:r>
                <a:r>
                  <a:rPr lang="en-US" baseline="0">
                    <a:solidFill>
                      <a:srgbClr val="00B050"/>
                    </a:solidFill>
                  </a:rPr>
                  <a:t> time (hour)</a:t>
                </a:r>
                <a:endParaRPr lang="en-US">
                  <a:solidFill>
                    <a:srgbClr val="00B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45592"/>
        <c:crosses val="autoZero"/>
        <c:crossBetween val="between"/>
      </c:valAx>
      <c:valAx>
        <c:axId val="53824072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5050"/>
                    </a:solidFill>
                  </a:rPr>
                  <a:t>Electric Power (kWh)</a:t>
                </a:r>
              </a:p>
            </c:rich>
          </c:tx>
          <c:layout>
            <c:manualLayout>
              <c:xMode val="edge"/>
              <c:yMode val="edge"/>
              <c:x val="0.9623021575080094"/>
              <c:y val="0.29767770859330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38104"/>
        <c:crosses val="max"/>
        <c:crossBetween val="between"/>
      </c:valAx>
      <c:catAx>
        <c:axId val="538238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8240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03783064626368"/>
          <c:y val="0.87360918311604463"/>
          <c:w val="0.22567386115499227"/>
          <c:h val="5.6312958728161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of Soft</a:t>
            </a:r>
            <a:r>
              <a:rPr lang="en-US" baseline="0"/>
              <a:t> Water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80927384076985E-2"/>
          <c:y val="0.13584021509506433"/>
          <c:w val="0.87251670753322608"/>
          <c:h val="0.70583445362012665"/>
        </c:manualLayout>
      </c:layout>
      <c:lineChart>
        <c:grouping val="standard"/>
        <c:varyColors val="0"/>
        <c:ser>
          <c:idx val="0"/>
          <c:order val="0"/>
          <c:tx>
            <c:strRef>
              <c:f>'Jan'' 23'!$L$5:$L$6</c:f>
              <c:strCache>
                <c:ptCount val="1"/>
                <c:pt idx="0">
                  <c:v>Soft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929-49C4-8916-947AF1144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4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33FF"/>
                </a:solidFill>
              </a:rPr>
              <a:t>pH of Feed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30507475502334"/>
          <c:y val="0.17171296296296298"/>
          <c:w val="0.84436591849832876"/>
          <c:h val="0.51681284631087776"/>
        </c:manualLayout>
      </c:layout>
      <c:lineChart>
        <c:grouping val="standard"/>
        <c:varyColors val="0"/>
        <c:ser>
          <c:idx val="1"/>
          <c:order val="0"/>
          <c:tx>
            <c:strRef>
              <c:f>'Jan'' 23'!$M$5</c:f>
              <c:strCache>
                <c:ptCount val="1"/>
                <c:pt idx="0">
                  <c:v>Feed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33FF"/>
              </a:solidFill>
              <a:ln w="9525">
                <a:solidFill>
                  <a:srgbClr val="9933FF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7F-49F3-AC45-D20C0DDCAFBD}"/>
            </c:ext>
          </c:extLst>
        </c:ser>
        <c:ser>
          <c:idx val="0"/>
          <c:order val="1"/>
          <c:tx>
            <c:strRef>
              <c:f>'Jan'' 23    '!#REF!</c:f>
              <c:strCache>
                <c:ptCount val="1"/>
                <c:pt idx="0">
                  <c:v>pH 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7F-49F3-AC45-D20C0DDCAFBD}"/>
            </c:ext>
          </c:extLst>
        </c:ser>
        <c:ser>
          <c:idx val="2"/>
          <c:order val="2"/>
          <c:tx>
            <c:strRef>
              <c:f>'Jan'' 23    '!#REF!</c:f>
              <c:strCache>
                <c:ptCount val="1"/>
                <c:pt idx="0">
                  <c:v>pH 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7F-49F3-AC45-D20C0DDC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2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00FF"/>
                </a:solidFill>
                <a:effectLst/>
              </a:rPr>
              <a:t>pH</a:t>
            </a:r>
            <a:r>
              <a:rPr lang="en-US" sz="1100" b="0" i="0" baseline="0">
                <a:solidFill>
                  <a:srgbClr val="0000FF"/>
                </a:solidFill>
                <a:effectLst/>
              </a:rPr>
              <a:t>  </a:t>
            </a:r>
            <a:r>
              <a:rPr lang="en-US">
                <a:solidFill>
                  <a:srgbClr val="0000FF"/>
                </a:solidFill>
              </a:rPr>
              <a:t>of Boiler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6598312753641"/>
          <c:y val="0.17171296296296298"/>
          <c:w val="0.84451912999302814"/>
          <c:h val="0.51681284631087776"/>
        </c:manualLayout>
      </c:layout>
      <c:lineChart>
        <c:grouping val="standard"/>
        <c:varyColors val="0"/>
        <c:ser>
          <c:idx val="2"/>
          <c:order val="0"/>
          <c:tx>
            <c:strRef>
              <c:f>'Jan'' 23'!$N$5</c:f>
              <c:strCache>
                <c:ptCount val="1"/>
                <c:pt idx="0">
                  <c:v>Boiler water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878-4040-A36A-40595423C50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878-4040-A36A-40595423C50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878-4040-A36A-40595423C50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878-4040-A36A-40595423C50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878-4040-A36A-40595423C50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878-4040-A36A-40595423C50A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878-4040-A36A-40595423C50A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878-4040-A36A-40595423C50A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878-4040-A36A-40595423C50A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878-4040-A36A-40595423C50A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878-4040-A36A-40595423C50A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878-4040-A36A-40595423C50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878-4040-A36A-40595423C50A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878-4040-A36A-40595423C50A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878-4040-A36A-40595423C50A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878-4040-A36A-40595423C50A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878-4040-A36A-40595423C50A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9878-4040-A36A-40595423C50A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9878-4040-A36A-40595423C50A}"/>
            </c:ext>
          </c:extLst>
        </c:ser>
        <c:ser>
          <c:idx val="0"/>
          <c:order val="1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9878-4040-A36A-40595423C50A}"/>
            </c:ext>
          </c:extLst>
        </c:ser>
        <c:ser>
          <c:idx val="1"/>
          <c:order val="2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9878-4040-A36A-40595423C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4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Dissolved Solid (TDS) of Boiler </a:t>
            </a:r>
            <a:r>
              <a:rPr lang="en-US" baseline="0"/>
              <a:t>Water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2341539725984"/>
          <c:y val="0.17171296296296298"/>
          <c:w val="0.81912403294888314"/>
          <c:h val="0.51681284631087776"/>
        </c:manualLayout>
      </c:layout>
      <c:lineChart>
        <c:grouping val="standard"/>
        <c:varyColors val="0"/>
        <c:ser>
          <c:idx val="0"/>
          <c:order val="0"/>
          <c:tx>
            <c:strRef>
              <c:f>'Jan'' 23'!$S$5</c:f>
              <c:strCache>
                <c:ptCount val="1"/>
                <c:pt idx="0">
                  <c:v>Boiler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33FF"/>
              </a:solidFill>
              <a:ln w="9525">
                <a:solidFill>
                  <a:srgbClr val="9933FF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3F7-4C91-82E9-A3C5EE736015}"/>
            </c:ext>
          </c:extLst>
        </c:ser>
        <c:ser>
          <c:idx val="1"/>
          <c:order val="1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3F7-4C91-82E9-A3C5EE73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TDS</a:t>
                </a:r>
              </a:p>
            </c:rich>
          </c:tx>
          <c:layout>
            <c:manualLayout>
              <c:xMode val="edge"/>
              <c:yMode val="edge"/>
              <c:x val="1.3930714549128585E-2"/>
              <c:y val="0.33204068241469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Hardness of Feed </a:t>
            </a:r>
            <a:r>
              <a:rPr lang="en-US" baseline="0"/>
              <a:t>Water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4030579069973"/>
          <c:y val="0.17171296296296298"/>
          <c:w val="0.84433528751011344"/>
          <c:h val="0.51681284631087776"/>
        </c:manualLayout>
      </c:layout>
      <c:lineChart>
        <c:grouping val="standard"/>
        <c:varyColors val="0"/>
        <c:ser>
          <c:idx val="0"/>
          <c:order val="0"/>
          <c:tx>
            <c:strRef>
              <c:f>'Jan'' 23'!$P$5</c:f>
              <c:strCache>
                <c:ptCount val="1"/>
                <c:pt idx="0">
                  <c:v>Feed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79A-4354-B100-7A990B6711C6}"/>
            </c:ext>
          </c:extLst>
        </c:ser>
        <c:ser>
          <c:idx val="1"/>
          <c:order val="1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79A-4354-B100-7A990B67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848251557844786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2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Hardness  ppm as CaCO3</a:t>
                </a:r>
              </a:p>
            </c:rich>
          </c:tx>
          <c:layout>
            <c:manualLayout>
              <c:xMode val="edge"/>
              <c:yMode val="edge"/>
              <c:x val="1.6691781006461823E-2"/>
              <c:y val="0.17819808982210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9743000874890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'Jan'' 23'!$K$4:$K$5</c:f>
              <c:strCache>
                <c:ptCount val="1"/>
                <c:pt idx="0">
                  <c:v>                                            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3300"/>
              </a:solidFill>
              <a:ln w="9525">
                <a:solidFill>
                  <a:srgbClr val="993300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0E-4EEB-8128-08BFCDA3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29320"/>
        <c:axId val="594423416"/>
      </c:lineChart>
      <c:catAx>
        <c:axId val="594429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23416"/>
        <c:crosses val="autoZero"/>
        <c:auto val="1"/>
        <c:lblAlgn val="ctr"/>
        <c:lblOffset val="100"/>
        <c:noMultiLvlLbl val="0"/>
      </c:catAx>
      <c:valAx>
        <c:axId val="59442341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Blowdown time (min)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5999234470691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2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Boiler Operate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12386027636413"/>
          <c:y val="0.18055555555555552"/>
          <c:w val="0.73897462817147863"/>
          <c:h val="0.66111913094196562"/>
        </c:manualLayout>
      </c:layout>
      <c:lineChart>
        <c:grouping val="standard"/>
        <c:varyColors val="0"/>
        <c:ser>
          <c:idx val="0"/>
          <c:order val="0"/>
          <c:tx>
            <c:strRef>
              <c:f>'Jan'' 23'!$I$4:$I$5</c:f>
              <c:strCache>
                <c:ptCount val="1"/>
                <c:pt idx="0">
                  <c:v>Operate time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BC-491E-B148-9834EC42B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4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00FF"/>
                </a:solidFill>
              </a:rPr>
              <a:t>Feed Water consumption </a:t>
            </a:r>
            <a:r>
              <a:rPr lang="en-US" sz="1400" b="0" i="0" u="none" strike="noStrike" baseline="0">
                <a:solidFill>
                  <a:srgbClr val="0000FF"/>
                </a:solidFill>
                <a:effectLst/>
              </a:rPr>
              <a:t>Jan-Dec</a:t>
            </a:r>
            <a:r>
              <a:rPr lang="en-US">
                <a:solidFill>
                  <a:srgbClr val="0000FF"/>
                </a:solidFill>
              </a:rPr>
              <a:t>,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7090363706"/>
          <c:y val="0.16620482395028061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Summary!$F$21</c:f>
              <c:strCache>
                <c:ptCount val="1"/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8043041744434342E-17"/>
                  <c:y val="2.0736129325523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3D-4DE3-97DB-5DEA0D92FE61}"/>
                </c:ext>
              </c:extLst>
            </c:dLbl>
            <c:dLbl>
              <c:idx val="2"/>
              <c:layout>
                <c:manualLayout>
                  <c:x val="-3.6455376014622449E-17"/>
                  <c:y val="2.0736129325523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3D-4DE3-97DB-5DEA0D92FE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Summary!$C$8:$C$19</c:f>
              <c:numCache>
                <c:formatCode>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B93D-4DE3-97DB-5DEA0D92FE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Feed Water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50"/>
                </a:solidFill>
              </a:rPr>
              <a:t>Operate time on Jan-Dec,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7090363706"/>
          <c:y val="0.16620482395028061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Summary!$D$5:$D$6</c:f>
              <c:strCache>
                <c:ptCount val="2"/>
                <c:pt idx="0">
                  <c:v>Operate time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dLbl>
              <c:idx val="3"/>
              <c:layout>
                <c:manualLayout>
                  <c:x val="2.2670227975025202E-3"/>
                  <c:y val="2.0736129325523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EE-4073-B7C2-8A490AF496F9}"/>
                </c:ext>
              </c:extLst>
            </c:dLbl>
            <c:dLbl>
              <c:idx val="4"/>
              <c:layout>
                <c:manualLayout>
                  <c:x val="-2.2670227975026451E-3"/>
                  <c:y val="2.903058105573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E-4073-B7C2-8A490AF49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Summary!$D$8:$D$19</c:f>
              <c:numCache>
                <c:formatCode>_(* #,##0_);_(* \(#,##0\);_(*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6EE-4073-B7C2-8A490AF496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Operate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LPG consumption on Jan-Dec ,2023 </a:t>
            </a:r>
          </a:p>
        </c:rich>
      </c:tx>
      <c:layout>
        <c:manualLayout>
          <c:xMode val="edge"/>
          <c:yMode val="edge"/>
          <c:x val="0.2569341374134253"/>
          <c:y val="4.5619484516152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7090363706"/>
          <c:y val="0.16620482395028061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Summary!$B$5:$B$6</c:f>
              <c:strCache>
                <c:ptCount val="2"/>
                <c:pt idx="0">
                  <c:v>LPG consumption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1.6588903460419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09-46E2-BA24-BE1EC35BB8D5}"/>
                </c:ext>
              </c:extLst>
            </c:dLbl>
            <c:dLbl>
              <c:idx val="2"/>
              <c:layout>
                <c:manualLayout>
                  <c:x val="0"/>
                  <c:y val="2.0736129325523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09-46E2-BA24-BE1EC35BB8D5}"/>
                </c:ext>
              </c:extLst>
            </c:dLbl>
            <c:dLbl>
              <c:idx val="3"/>
              <c:layout>
                <c:manualLayout>
                  <c:x val="-2.2741716240325979E-3"/>
                  <c:y val="2.0736129325523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09-46E2-BA24-BE1EC35BB8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Summary!$B$8:$B$19</c:f>
              <c:numCache>
                <c:formatCode>_(* #,##0_);_(* \(#,##0\);_(*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809-46E2-BA24-BE1EC35BB8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LPG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3300"/>
                </a:solidFill>
              </a:rPr>
              <a:t>Blow down time on Jan-Dec,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7090363706"/>
          <c:y val="0.16620482395028061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Summary!$F$5:$F$6</c:f>
              <c:strCache>
                <c:ptCount val="2"/>
                <c:pt idx="0">
                  <c:v>Blow down</c:v>
                </c:pt>
              </c:strCache>
            </c:strRef>
          </c:tx>
          <c:spPr>
            <a:solidFill>
              <a:srgbClr val="9933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6286107546699301E-17"/>
                  <c:y val="1.65889034604191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90-4C47-8485-D122D4FFA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Summary!$F$8:$F$19</c:f>
              <c:numCache>
                <c:formatCode>_(* #,##0_);_(* \(#,##0\);_(*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6790-4C47-8485-D122D4FFA6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4974730524582762"/>
              <c:y val="0.85983094993024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Operate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33FF"/>
                </a:solidFill>
              </a:rPr>
              <a:t>pH of Feed Water on Jan- Dec</a:t>
            </a:r>
            <a:r>
              <a:rPr lang="en-US" baseline="0">
                <a:solidFill>
                  <a:srgbClr val="9933FF"/>
                </a:solidFill>
              </a:rPr>
              <a:t> </a:t>
            </a:r>
            <a:r>
              <a:rPr lang="en-US">
                <a:solidFill>
                  <a:srgbClr val="9933FF"/>
                </a:solidFill>
              </a:rPr>
              <a:t>,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7090363706"/>
          <c:y val="0.16620482395028061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Summary!$H$6</c:f>
              <c:strCache>
                <c:ptCount val="1"/>
                <c:pt idx="0">
                  <c:v>Feed water</c:v>
                </c:pt>
              </c:strCache>
            </c:strRef>
          </c:tx>
          <c:spPr>
            <a:solidFill>
              <a:srgbClr val="9933FF"/>
            </a:solidFill>
            <a:ln>
              <a:solidFill>
                <a:srgbClr val="9933F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7C-40FE-B9AB-F75257FDB658}"/>
              </c:ext>
            </c:extLst>
          </c:dPt>
          <c:dPt>
            <c:idx val="4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7C-40FE-B9AB-F75257FDB658}"/>
              </c:ext>
            </c:extLst>
          </c:dPt>
          <c:dPt>
            <c:idx val="5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7C-40FE-B9AB-F75257FDB658}"/>
              </c:ext>
            </c:extLst>
          </c:dPt>
          <c:dPt>
            <c:idx val="6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7C-40FE-B9AB-F75257FDB658}"/>
              </c:ext>
            </c:extLst>
          </c:dPt>
          <c:dPt>
            <c:idx val="7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7C-40FE-B9AB-F75257FDB658}"/>
              </c:ext>
            </c:extLst>
          </c:dPt>
          <c:dPt>
            <c:idx val="8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7C-40FE-B9AB-F75257FDB658}"/>
              </c:ext>
            </c:extLst>
          </c:dPt>
          <c:dPt>
            <c:idx val="10"/>
            <c:invertIfNegative val="0"/>
            <c:bubble3D val="0"/>
            <c:spPr>
              <a:solidFill>
                <a:srgbClr val="9933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7C-40FE-B9AB-F75257FDB6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Summary!$H$8:$H$19</c:f>
              <c:numCache>
                <c:formatCode>_(* #,##0.0_);_(* \(#,##0.0\);_(*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B37C-40FE-B9AB-F75257FDB6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92234613530451548"/>
              <c:y val="0.73541417397710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  <c:max val="9"/>
          <c:min val="8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pH of Feed water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66FF"/>
                </a:solidFill>
              </a:rPr>
              <a:t>pH of Boiler Water on Jan-Dec,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7090363706"/>
          <c:y val="0.16620482395028061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Summary!$I$6</c:f>
              <c:strCache>
                <c:ptCount val="1"/>
                <c:pt idx="0">
                  <c:v>Boiler water</c:v>
                </c:pt>
              </c:strCache>
            </c:strRef>
          </c:tx>
          <c:spPr>
            <a:solidFill>
              <a:srgbClr val="0066FF"/>
            </a:solidFill>
            <a:ln>
              <a:solidFill>
                <a:srgbClr val="0066F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77-42BF-AFD2-FEE46EE02491}"/>
              </c:ext>
            </c:extLst>
          </c:dPt>
          <c:dPt>
            <c:idx val="4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77-42BF-AFD2-FEE46EE02491}"/>
              </c:ext>
            </c:extLst>
          </c:dPt>
          <c:dPt>
            <c:idx val="5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77-42BF-AFD2-FEE46EE02491}"/>
              </c:ext>
            </c:extLst>
          </c:dPt>
          <c:dPt>
            <c:idx val="6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77-42BF-AFD2-FEE46EE02491}"/>
              </c:ext>
            </c:extLst>
          </c:dPt>
          <c:dPt>
            <c:idx val="7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77-42BF-AFD2-FEE46EE02491}"/>
              </c:ext>
            </c:extLst>
          </c:dPt>
          <c:dPt>
            <c:idx val="8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77-42BF-AFD2-FEE46EE02491}"/>
              </c:ext>
            </c:extLst>
          </c:dPt>
          <c:dPt>
            <c:idx val="9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77-42BF-AFD2-FEE46EE02491}"/>
              </c:ext>
            </c:extLst>
          </c:dPt>
          <c:dPt>
            <c:idx val="10"/>
            <c:invertIfNegative val="0"/>
            <c:bubble3D val="0"/>
            <c:spPr>
              <a:solidFill>
                <a:srgbClr val="0066FF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77-42BF-AFD2-FEE46EE024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Summary!$I$8:$I$19</c:f>
              <c:numCache>
                <c:formatCode>_(* #,##0.0_);_(* \(#,##0.0\);_(*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4C77-42BF-AFD2-FEE46EE024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92234613530451548"/>
              <c:y val="0.73541417397710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  <c:max val="11"/>
          <c:min val="1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pH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of Boiler water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6666"/>
                </a:solidFill>
              </a:rPr>
              <a:t>Total Hardness of</a:t>
            </a:r>
            <a:r>
              <a:rPr lang="en-US" baseline="0">
                <a:solidFill>
                  <a:srgbClr val="006666"/>
                </a:solidFill>
              </a:rPr>
              <a:t> Feed water </a:t>
            </a:r>
            <a:r>
              <a:rPr lang="en-US">
                <a:solidFill>
                  <a:srgbClr val="006666"/>
                </a:solidFill>
              </a:rPr>
              <a:t>on Jan</a:t>
            </a:r>
            <a:r>
              <a:rPr lang="en-US" baseline="0">
                <a:solidFill>
                  <a:srgbClr val="006666"/>
                </a:solidFill>
              </a:rPr>
              <a:t> -Dec</a:t>
            </a:r>
            <a:r>
              <a:rPr lang="en-US">
                <a:solidFill>
                  <a:srgbClr val="006666"/>
                </a:solidFill>
              </a:rPr>
              <a:t>,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3513087417"/>
          <c:y val="0.18694094089125515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Summary!$J$5:$K$5</c:f>
              <c:strCache>
                <c:ptCount val="1"/>
                <c:pt idx="0">
                  <c:v>Total Hardness  ppm as CaCO3</c:v>
                </c:pt>
              </c:strCache>
            </c:strRef>
          </c:tx>
          <c:spPr>
            <a:solidFill>
              <a:srgbClr val="006666"/>
            </a:solidFill>
            <a:ln>
              <a:solidFill>
                <a:srgbClr val="006666"/>
              </a:solidFill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2E2-44E2-9676-6FC28DCCF97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2E2-44E2-9676-6FC28DCCF97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2E2-44E2-9676-6FC28DCCF97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2E2-44E2-9676-6FC28DCCF97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2E2-44E2-9676-6FC28DCCF97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2E2-44E2-9676-6FC28DCCF97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2E2-44E2-9676-6FC28DCCF97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2E2-44E2-9676-6FC28DCCF9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Summary!$K$8:$K$19</c:f>
              <c:numCache>
                <c:formatCode>_(* #,##0.0_);_(* \(#,##0.0\);_(*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52E2-44E2-9676-6FC28DCCF9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92234613530451548"/>
              <c:y val="0.73541417397710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Hardness </a:t>
                </a:r>
                <a:r>
                  <a:rPr lang="en-US"/>
                  <a:t>(ppm as CaCO3)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C6600"/>
                </a:solidFill>
                <a:latin typeface="+mn-lt"/>
                <a:ea typeface="+mn-ea"/>
                <a:cs typeface="+mn-cs"/>
              </a:defRPr>
            </a:pPr>
            <a:endParaRPr lang="th-TH">
              <a:solidFill>
                <a:srgbClr val="CC6600"/>
              </a:solidFill>
            </a:endParaRPr>
          </a:p>
          <a:p>
            <a:pPr>
              <a:defRPr>
                <a:solidFill>
                  <a:srgbClr val="CC6600"/>
                </a:solidFill>
              </a:defRPr>
            </a:pPr>
            <a:endParaRPr lang="en-US">
              <a:solidFill>
                <a:srgbClr val="CC66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C66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5578925045573272"/>
          <c:y val="0.15791035983552168"/>
          <c:w val="0.76373185494670326"/>
          <c:h val="0.58082877900445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Summary!$L$5:$N$5</c:f>
              <c:strCache>
                <c:ptCount val="1"/>
                <c:pt idx="0">
                  <c:v>Total Dissolved Solid (TDS)</c:v>
                </c:pt>
              </c:strCache>
            </c:strRef>
          </c:tx>
          <c:spPr>
            <a:solidFill>
              <a:srgbClr val="CC6600"/>
            </a:solidFill>
            <a:ln>
              <a:solidFill>
                <a:srgbClr val="CC66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2-46F8-AD52-F6B834198DF2}"/>
              </c:ext>
            </c:extLst>
          </c:dPt>
          <c:dPt>
            <c:idx val="4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2-46F8-AD52-F6B834198DF2}"/>
              </c:ext>
            </c:extLst>
          </c:dPt>
          <c:dPt>
            <c:idx val="5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2-46F8-AD52-F6B834198DF2}"/>
              </c:ext>
            </c:extLst>
          </c:dPt>
          <c:dPt>
            <c:idx val="6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62-46F8-AD52-F6B834198DF2}"/>
              </c:ext>
            </c:extLst>
          </c:dPt>
          <c:dPt>
            <c:idx val="7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62-46F8-AD52-F6B834198DF2}"/>
              </c:ext>
            </c:extLst>
          </c:dPt>
          <c:dPt>
            <c:idx val="8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62-46F8-AD52-F6B834198DF2}"/>
              </c:ext>
            </c:extLst>
          </c:dPt>
          <c:dPt>
            <c:idx val="9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62-46F8-AD52-F6B834198DF2}"/>
              </c:ext>
            </c:extLst>
          </c:dPt>
          <c:dPt>
            <c:idx val="10"/>
            <c:invertIfNegative val="0"/>
            <c:bubble3D val="0"/>
            <c:spPr>
              <a:solidFill>
                <a:srgbClr val="CC66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62-46F8-AD52-F6B834198D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Summary!$N$8:$N$19</c:f>
              <c:numCache>
                <c:formatCode>_(* #,##0.0_);_(* \(#,##0.0\);_(*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5362-46F8-AD52-F6B834198D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92234613530451548"/>
              <c:y val="0.73541417397710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  <c:max val="1400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TDS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  <c:majorUnit val="2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6666"/>
                </a:solidFill>
              </a:rPr>
              <a:t>Total Hardness of</a:t>
            </a:r>
            <a:r>
              <a:rPr lang="en-US" baseline="0">
                <a:solidFill>
                  <a:srgbClr val="006666"/>
                </a:solidFill>
              </a:rPr>
              <a:t> Feed water </a:t>
            </a:r>
            <a:r>
              <a:rPr lang="en-US">
                <a:solidFill>
                  <a:srgbClr val="006666"/>
                </a:solidFill>
              </a:rPr>
              <a:t>on Jan</a:t>
            </a:r>
            <a:r>
              <a:rPr lang="en-US" baseline="0">
                <a:solidFill>
                  <a:srgbClr val="006666"/>
                </a:solidFill>
              </a:rPr>
              <a:t> -Dec</a:t>
            </a:r>
            <a:r>
              <a:rPr lang="en-US">
                <a:solidFill>
                  <a:srgbClr val="006666"/>
                </a:solidFill>
              </a:rPr>
              <a:t>, 2023 </a:t>
            </a:r>
          </a:p>
        </c:rich>
      </c:tx>
      <c:layout>
        <c:manualLayout>
          <c:xMode val="edge"/>
          <c:yMode val="edge"/>
          <c:x val="0.21566432102963873"/>
          <c:y val="5.3913936246362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3273513087417"/>
          <c:y val="0.18694094089125515"/>
          <c:w val="0.76373185494670326"/>
          <c:h val="0.6098595152777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Summary!$J$5:$K$5</c:f>
              <c:strCache>
                <c:ptCount val="1"/>
                <c:pt idx="0">
                  <c:v>Total Hardness  ppm as CaCO3</c:v>
                </c:pt>
              </c:strCache>
            </c:strRef>
          </c:tx>
          <c:spPr>
            <a:solidFill>
              <a:srgbClr val="006666"/>
            </a:solidFill>
            <a:ln>
              <a:solidFill>
                <a:srgbClr val="006666"/>
              </a:solidFill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CFD-4A1B-AD9B-26D63B00364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CFD-4A1B-AD9B-26D63B00364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CFD-4A1B-AD9B-26D63B00364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CFD-4A1B-AD9B-26D63B00364A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CFD-4A1B-AD9B-26D63B00364A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CFD-4A1B-AD9B-26D63B00364A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CFD-4A1B-AD9B-26D63B00364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CFD-4A1B-AD9B-26D63B0036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Summary!$K$8:$K$19</c:f>
              <c:numCache>
                <c:formatCode>_(* #,##0.0_);_(* \(#,##0.0\);_(*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7CFD-4A1B-AD9B-26D63B0036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0392864"/>
        <c:axId val="650393192"/>
      </c:barChart>
      <c:catAx>
        <c:axId val="6503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92234613530451548"/>
              <c:y val="0.73541417397710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3192"/>
        <c:crosses val="autoZero"/>
        <c:auto val="1"/>
        <c:lblAlgn val="ctr"/>
        <c:lblOffset val="100"/>
        <c:noMultiLvlLbl val="0"/>
      </c:catAx>
      <c:valAx>
        <c:axId val="650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Hardness </a:t>
                </a:r>
                <a:r>
                  <a:rPr lang="en-US"/>
                  <a:t>(ppm as CaCO3)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9286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emf"/><Relationship Id="rId18" Type="http://schemas.openxmlformats.org/officeDocument/2006/relationships/image" Target="../media/image9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emf"/><Relationship Id="rId17" Type="http://schemas.openxmlformats.org/officeDocument/2006/relationships/image" Target="../media/image8.emf"/><Relationship Id="rId2" Type="http://schemas.openxmlformats.org/officeDocument/2006/relationships/chart" Target="../charts/chart2.xml"/><Relationship Id="rId16" Type="http://schemas.openxmlformats.org/officeDocument/2006/relationships/image" Target="../media/image7.emf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emf"/><Relationship Id="rId5" Type="http://schemas.openxmlformats.org/officeDocument/2006/relationships/chart" Target="../charts/chart5.xml"/><Relationship Id="rId15" Type="http://schemas.openxmlformats.org/officeDocument/2006/relationships/image" Target="../media/image6.emf"/><Relationship Id="rId10" Type="http://schemas.openxmlformats.org/officeDocument/2006/relationships/image" Target="../media/image1.emf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391583</xdr:colOff>
      <xdr:row>105</xdr:row>
      <xdr:rowOff>4232</xdr:rowOff>
    </xdr:from>
    <xdr:to>
      <xdr:col>12</xdr:col>
      <xdr:colOff>21166</xdr:colOff>
      <xdr:row>126</xdr:row>
      <xdr:rowOff>179917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A485B-6080-4F5C-82CD-BAC76AE40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128</xdr:row>
      <xdr:rowOff>14815</xdr:rowOff>
    </xdr:from>
    <xdr:to>
      <xdr:col>11</xdr:col>
      <xdr:colOff>719667</xdr:colOff>
      <xdr:row>148</xdr:row>
      <xdr:rowOff>10582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823CE-CC8D-4FBD-AEE1-DD6FCE728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13607</xdr:colOff>
      <xdr:row>104</xdr:row>
      <xdr:rowOff>190084</xdr:rowOff>
    </xdr:from>
    <xdr:to>
      <xdr:col>18</xdr:col>
      <xdr:colOff>789215</xdr:colOff>
      <xdr:row>121</xdr:row>
      <xdr:rowOff>75784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C4CAD3-CAA3-48CF-B81A-1A10974FF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11907</xdr:colOff>
      <xdr:row>122</xdr:row>
      <xdr:rowOff>9525</xdr:rowOff>
    </xdr:from>
    <xdr:to>
      <xdr:col>18</xdr:col>
      <xdr:colOff>109538</xdr:colOff>
      <xdr:row>136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B6C982-75F4-4035-8A3E-40EB09139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138</xdr:row>
      <xdr:rowOff>188119</xdr:rowOff>
    </xdr:from>
    <xdr:to>
      <xdr:col>18</xdr:col>
      <xdr:colOff>95250</xdr:colOff>
      <xdr:row>153</xdr:row>
      <xdr:rowOff>73819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4E2834-9266-4676-9FC0-DDF2BEBE2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20731</xdr:colOff>
      <xdr:row>173</xdr:row>
      <xdr:rowOff>26894</xdr:rowOff>
    </xdr:from>
    <xdr:to>
      <xdr:col>18</xdr:col>
      <xdr:colOff>111219</xdr:colOff>
      <xdr:row>187</xdr:row>
      <xdr:rowOff>103094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491F4B-1E0D-4E87-9024-D8C1FB4B8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741269</xdr:colOff>
      <xdr:row>156</xdr:row>
      <xdr:rowOff>26894</xdr:rowOff>
    </xdr:from>
    <xdr:to>
      <xdr:col>18</xdr:col>
      <xdr:colOff>88807</xdr:colOff>
      <xdr:row>170</xdr:row>
      <xdr:rowOff>103094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9ED9FB-4E4B-48CD-97DB-13E1B6204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21166</xdr:colOff>
      <xdr:row>190</xdr:row>
      <xdr:rowOff>12700</xdr:rowOff>
    </xdr:from>
    <xdr:to>
      <xdr:col>18</xdr:col>
      <xdr:colOff>116416</xdr:colOff>
      <xdr:row>204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EFC557-AF3C-4E31-AFCB-6FF926C86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207</xdr:row>
      <xdr:rowOff>0</xdr:rowOff>
    </xdr:from>
    <xdr:to>
      <xdr:col>18</xdr:col>
      <xdr:colOff>78582</xdr:colOff>
      <xdr:row>221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F1BC8E-CC30-48BA-8A35-677952EBC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149</xdr:row>
      <xdr:rowOff>0</xdr:rowOff>
    </xdr:from>
    <xdr:to>
      <xdr:col>7</xdr:col>
      <xdr:colOff>544286</xdr:colOff>
      <xdr:row>168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5546B9-7CA6-47F9-B9A5-DCF248E4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8575000"/>
          <a:ext cx="5478236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7</xdr:col>
      <xdr:colOff>544286</xdr:colOff>
      <xdr:row>189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E8EEF1E-8A2E-497A-9EAF-878E4E5AD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2575500"/>
          <a:ext cx="5478236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</xdr:colOff>
      <xdr:row>105</xdr:row>
      <xdr:rowOff>0</xdr:rowOff>
    </xdr:from>
    <xdr:to>
      <xdr:col>26</xdr:col>
      <xdr:colOff>14324</xdr:colOff>
      <xdr:row>120</xdr:row>
      <xdr:rowOff>98593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082DA2-A6ED-4E23-9586-9C101C535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6" y="20193000"/>
          <a:ext cx="4433923" cy="2956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122</xdr:row>
      <xdr:rowOff>0</xdr:rowOff>
    </xdr:from>
    <xdr:to>
      <xdr:col>25</xdr:col>
      <xdr:colOff>600416</xdr:colOff>
      <xdr:row>137</xdr:row>
      <xdr:rowOff>81643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8E1AAB8-D33A-4AF2-9683-CAA41EB0E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23431500"/>
          <a:ext cx="4410416" cy="2939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139</xdr:row>
      <xdr:rowOff>0</xdr:rowOff>
    </xdr:from>
    <xdr:to>
      <xdr:col>25</xdr:col>
      <xdr:colOff>600416</xdr:colOff>
      <xdr:row>154</xdr:row>
      <xdr:rowOff>81643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F28F8AE-380B-44B4-8A53-D820FC92C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26670000"/>
          <a:ext cx="4410416" cy="2939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156</xdr:row>
      <xdr:rowOff>0</xdr:rowOff>
    </xdr:from>
    <xdr:to>
      <xdr:col>25</xdr:col>
      <xdr:colOff>571500</xdr:colOff>
      <xdr:row>171</xdr:row>
      <xdr:rowOff>62433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ABC2C8-B221-4D93-8044-049E9965E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29908500"/>
          <a:ext cx="4381500" cy="291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173</xdr:row>
      <xdr:rowOff>0</xdr:rowOff>
    </xdr:from>
    <xdr:to>
      <xdr:col>26</xdr:col>
      <xdr:colOff>50254</xdr:colOff>
      <xdr:row>188</xdr:row>
      <xdr:rowOff>122464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75E336B-8058-4524-BF50-1B9D2B83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33147000"/>
          <a:ext cx="4469854" cy="2979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190</xdr:row>
      <xdr:rowOff>0</xdr:rowOff>
    </xdr:from>
    <xdr:to>
      <xdr:col>25</xdr:col>
      <xdr:colOff>598714</xdr:colOff>
      <xdr:row>205</xdr:row>
      <xdr:rowOff>80513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47BB478-D01B-4CCC-A2D2-412646501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36385500"/>
          <a:ext cx="4408714" cy="2938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207</xdr:row>
      <xdr:rowOff>0</xdr:rowOff>
    </xdr:from>
    <xdr:to>
      <xdr:col>25</xdr:col>
      <xdr:colOff>600416</xdr:colOff>
      <xdr:row>222</xdr:row>
      <xdr:rowOff>81643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4B6E089-A07E-45E9-A9FE-C52FEC1A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39624000"/>
          <a:ext cx="4410416" cy="2939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0.04161</cdr:x>
      <cdr:y>0.85181</cdr:y>
    </cdr:from>
    <cdr:to>
      <cdr:x>0.30406</cdr:x>
      <cdr:y>0.9589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65CBBDC-7B47-4BEC-93E4-91A1E387D959}"/>
            </a:ext>
          </a:extLst>
        </cdr:cNvPr>
        <cdr:cNvSpPr txBox="1"/>
      </cdr:nvSpPr>
      <cdr:spPr>
        <a:xfrm xmlns:a="http://schemas.openxmlformats.org/drawingml/2006/main">
          <a:off x="315542" y="3557303"/>
          <a:ext cx="1990148" cy="44722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FF0000"/>
          </a:solidFill>
          <a:prstDash val="dash"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FF0000"/>
              </a:solidFill>
            </a:rPr>
            <a:t>LPG</a:t>
          </a:r>
          <a:r>
            <a:rPr lang="en-US" sz="1100" baseline="-25000">
              <a:solidFill>
                <a:srgbClr val="FF0000"/>
              </a:solidFill>
            </a:rPr>
            <a:t>total use </a:t>
          </a:r>
          <a:r>
            <a:rPr lang="en-US" sz="1100" baseline="0">
              <a:solidFill>
                <a:srgbClr val="FF0000"/>
              </a:solidFill>
            </a:rPr>
            <a:t>= 5,053.7 m</a:t>
          </a:r>
          <a:r>
            <a:rPr lang="en-US" sz="1100" baseline="30000">
              <a:solidFill>
                <a:srgbClr val="FF0000"/>
              </a:solidFill>
            </a:rPr>
            <a:t>3</a:t>
          </a:r>
          <a:r>
            <a:rPr lang="en-US" sz="1100" baseline="0">
              <a:solidFill>
                <a:srgbClr val="FF0000"/>
              </a:solidFill>
            </a:rPr>
            <a:t>/month</a:t>
          </a:r>
        </a:p>
        <a:p xmlns:a="http://schemas.openxmlformats.org/drawingml/2006/main">
          <a:r>
            <a:rPr lang="en-US" sz="1100" baseline="0">
              <a:solidFill>
                <a:srgbClr val="FF6600"/>
              </a:solidFill>
            </a:rPr>
            <a:t>LPG</a:t>
          </a:r>
          <a:r>
            <a:rPr lang="en-US" sz="1100" baseline="-25000">
              <a:solidFill>
                <a:srgbClr val="FF6600"/>
              </a:solidFill>
            </a:rPr>
            <a:t>avg          </a:t>
          </a:r>
          <a:r>
            <a:rPr lang="en-US" sz="1100" baseline="0">
              <a:solidFill>
                <a:srgbClr val="FF6600"/>
              </a:solidFill>
            </a:rPr>
            <a:t>= 93.6 </a:t>
          </a:r>
          <a:r>
            <a:rPr lang="en-US" sz="1100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3000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/month</a:t>
          </a:r>
          <a:endParaRPr lang="en-US" sz="1100" baseline="-25000">
            <a:solidFill>
              <a:srgbClr val="FF6600"/>
            </a:solidFill>
          </a:endParaRPr>
        </a:p>
      </cdr:txBody>
    </cdr:sp>
  </cdr:relSizeAnchor>
  <cdr:relSizeAnchor xmlns:cdr="http://schemas.openxmlformats.org/drawingml/2006/chartDrawing">
    <cdr:from>
      <cdr:x>0.6761</cdr:x>
      <cdr:y>0.83157</cdr:y>
    </cdr:from>
    <cdr:to>
      <cdr:x>0.9919</cdr:x>
      <cdr:y>0.93867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40F1BC2-5DE0-4CE3-A97A-873D9191B897}"/>
            </a:ext>
          </a:extLst>
        </cdr:cNvPr>
        <cdr:cNvSpPr txBox="1"/>
      </cdr:nvSpPr>
      <cdr:spPr>
        <a:xfrm xmlns:a="http://schemas.openxmlformats.org/drawingml/2006/main">
          <a:off x="5126856" y="3472793"/>
          <a:ext cx="2394698" cy="44726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0000FF"/>
          </a:solidFill>
          <a:prstDash val="dash"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0000FF"/>
              </a:solidFill>
            </a:rPr>
            <a:t>Feed Water</a:t>
          </a:r>
          <a:r>
            <a:rPr lang="en-US" sz="1100" baseline="-25000">
              <a:solidFill>
                <a:srgbClr val="0000FF"/>
              </a:solidFill>
            </a:rPr>
            <a:t>total use </a:t>
          </a:r>
          <a:r>
            <a:rPr lang="en-US" sz="1100" baseline="0">
              <a:solidFill>
                <a:srgbClr val="0000FF"/>
              </a:solidFill>
            </a:rPr>
            <a:t>= 231.5 m</a:t>
          </a:r>
          <a:r>
            <a:rPr lang="en-US" sz="1100" baseline="30000">
              <a:solidFill>
                <a:srgbClr val="0000FF"/>
              </a:solidFill>
            </a:rPr>
            <a:t>3</a:t>
          </a:r>
          <a:r>
            <a:rPr lang="en-US" sz="1100" baseline="0">
              <a:solidFill>
                <a:srgbClr val="0000FF"/>
              </a:solidFill>
            </a:rPr>
            <a:t>/month</a:t>
          </a:r>
        </a:p>
        <a:p xmlns:a="http://schemas.openxmlformats.org/drawingml/2006/main"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Feed Water</a:t>
          </a:r>
          <a:r>
            <a:rPr lang="en-US" sz="1100" baseline="-25000">
              <a:solidFill>
                <a:schemeClr val="accent1">
                  <a:lumMod val="75000"/>
                </a:schemeClr>
              </a:solidFill>
            </a:rPr>
            <a:t>avg         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= 4.4  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3000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/month</a:t>
          </a:r>
          <a:endParaRPr lang="en-US" sz="1100" baseline="-250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0.05996</cdr:x>
      <cdr:y>0.84427</cdr:y>
    </cdr:from>
    <cdr:to>
      <cdr:x>0.37861</cdr:x>
      <cdr:y>0.97042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D6C1B7-0FED-446D-BC18-83E61C765475}"/>
            </a:ext>
          </a:extLst>
        </cdr:cNvPr>
        <cdr:cNvSpPr txBox="1"/>
      </cdr:nvSpPr>
      <cdr:spPr>
        <a:xfrm xmlns:a="http://schemas.openxmlformats.org/drawingml/2006/main">
          <a:off x="450851" y="3213100"/>
          <a:ext cx="2396068" cy="48010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00B050"/>
          </a:solidFill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rgbClr val="00B050"/>
              </a:solidFill>
            </a:rPr>
            <a:t>Operate time</a:t>
          </a:r>
          <a:r>
            <a:rPr lang="en-US" sz="1100" baseline="-25000">
              <a:solidFill>
                <a:srgbClr val="00B050"/>
              </a:solidFill>
            </a:rPr>
            <a:t>total       </a:t>
          </a:r>
          <a:r>
            <a:rPr lang="en-US" sz="1100" baseline="0">
              <a:solidFill>
                <a:srgbClr val="00B050"/>
              </a:solidFill>
            </a:rPr>
            <a:t>= 656.0hr/month</a:t>
          </a:r>
        </a:p>
        <a:p xmlns:a="http://schemas.openxmlformats.org/drawingml/2006/main">
          <a:pPr algn="l"/>
          <a:r>
            <a:rPr lang="en-US" sz="1100" baseline="0">
              <a:solidFill>
                <a:srgbClr val="006699"/>
              </a:solidFill>
            </a:rPr>
            <a:t>Operate time</a:t>
          </a:r>
          <a:r>
            <a:rPr lang="en-US" sz="1100" baseline="-25000">
              <a:solidFill>
                <a:srgbClr val="006699"/>
              </a:solidFill>
            </a:rPr>
            <a:t>avg  </a:t>
          </a:r>
          <a:r>
            <a:rPr lang="en-US" sz="1100" baseline="0">
              <a:solidFill>
                <a:srgbClr val="006699"/>
              </a:solidFill>
            </a:rPr>
            <a:t>= 12.4 </a:t>
          </a:r>
          <a:r>
            <a:rPr lang="en-US" sz="1100" baseline="0">
              <a:solidFill>
                <a:srgbClr val="006699"/>
              </a:solidFill>
              <a:effectLst/>
              <a:latin typeface="+mn-lt"/>
              <a:ea typeface="+mn-ea"/>
              <a:cs typeface="+mn-cs"/>
            </a:rPr>
            <a:t>hr/day</a:t>
          </a:r>
          <a:endParaRPr lang="en-US" sz="1100" baseline="-25000">
            <a:solidFill>
              <a:srgbClr val="006699"/>
            </a:solidFill>
          </a:endParaRPr>
        </a:p>
      </cdr:txBody>
    </cdr:sp>
  </cdr:relSizeAnchor>
  <cdr:relSizeAnchor xmlns:cdr="http://schemas.openxmlformats.org/drawingml/2006/chartDrawing">
    <cdr:from>
      <cdr:x>0.62491</cdr:x>
      <cdr:y>0.85428</cdr:y>
    </cdr:from>
    <cdr:to>
      <cdr:x>0.98283</cdr:x>
      <cdr:y>0.98044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C0D8EB7-4AFC-4BC2-B855-0C9B39D0AF18}"/>
            </a:ext>
          </a:extLst>
        </cdr:cNvPr>
        <cdr:cNvSpPr txBox="1"/>
      </cdr:nvSpPr>
      <cdr:spPr>
        <a:xfrm xmlns:a="http://schemas.openxmlformats.org/drawingml/2006/main">
          <a:off x="4699000" y="3251200"/>
          <a:ext cx="2691343" cy="48010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2"/>
          </a:solidFill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rgbClr val="FF6600"/>
              </a:solidFill>
            </a:rPr>
            <a:t>Power Electric </a:t>
          </a:r>
          <a:r>
            <a:rPr lang="en-US" sz="1100" baseline="-25000">
              <a:solidFill>
                <a:srgbClr val="FF6600"/>
              </a:solidFill>
            </a:rPr>
            <a:t>total       </a:t>
          </a:r>
          <a:r>
            <a:rPr lang="en-US" sz="1100" baseline="0">
              <a:solidFill>
                <a:srgbClr val="FF6600"/>
              </a:solidFill>
            </a:rPr>
            <a:t>= 6,428.8 kWh/month</a:t>
          </a:r>
        </a:p>
        <a:p xmlns:a="http://schemas.openxmlformats.org/drawingml/2006/main">
          <a:pPr algn="l"/>
          <a:r>
            <a:rPr lang="en-US" sz="1100" baseline="0">
              <a:solidFill>
                <a:schemeClr val="accent2">
                  <a:lumMod val="75000"/>
                </a:schemeClr>
              </a:solidFill>
            </a:rPr>
            <a:t>Power Electric </a:t>
          </a:r>
          <a:r>
            <a:rPr lang="en-US" sz="1100" baseline="-25000">
              <a:solidFill>
                <a:schemeClr val="accent2">
                  <a:lumMod val="75000"/>
                </a:schemeClr>
              </a:solidFill>
            </a:rPr>
            <a:t>avg  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</a:rPr>
            <a:t>= 121.3 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kWh/day</a:t>
          </a:r>
          <a:endParaRPr lang="en-US" sz="1100" baseline="-250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35718</xdr:colOff>
      <xdr:row>20</xdr:row>
      <xdr:rowOff>176212</xdr:rowOff>
    </xdr:from>
    <xdr:to>
      <xdr:col>14</xdr:col>
      <xdr:colOff>427301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4A883-5271-445B-BD56-657A0ECA0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39</xdr:row>
      <xdr:rowOff>19050</xdr:rowOff>
    </xdr:from>
    <xdr:to>
      <xdr:col>6</xdr:col>
      <xdr:colOff>304800</xdr:colOff>
      <xdr:row>55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0C528-FFF1-4A64-B968-837A7C771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466725</xdr:colOff>
      <xdr:row>21</xdr:row>
      <xdr:rowOff>0</xdr:rowOff>
    </xdr:from>
    <xdr:to>
      <xdr:col>6</xdr:col>
      <xdr:colOff>266700</xdr:colOff>
      <xdr:row>37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B86EA-6AC8-4CAB-B64A-8BA5C844E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39</xdr:row>
      <xdr:rowOff>0</xdr:rowOff>
    </xdr:from>
    <xdr:to>
      <xdr:col>14</xdr:col>
      <xdr:colOff>507546</xdr:colOff>
      <xdr:row>55</xdr:row>
      <xdr:rowOff>14288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4AEC1B-A383-4E28-8F81-F14AC475D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-1</xdr:colOff>
      <xdr:row>57</xdr:row>
      <xdr:rowOff>0</xdr:rowOff>
    </xdr:from>
    <xdr:to>
      <xdr:col>6</xdr:col>
      <xdr:colOff>297655</xdr:colOff>
      <xdr:row>73</xdr:row>
      <xdr:rowOff>14288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0B5F22-A98F-4A8E-82B9-E555B139F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142875</xdr:colOff>
      <xdr:row>57</xdr:row>
      <xdr:rowOff>38100</xdr:rowOff>
    </xdr:from>
    <xdr:to>
      <xdr:col>14</xdr:col>
      <xdr:colOff>551089</xdr:colOff>
      <xdr:row>73</xdr:row>
      <xdr:rowOff>52388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7D3425-F281-4EC3-85FE-D6F40BB37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6</xdr:col>
      <xdr:colOff>333375</xdr:colOff>
      <xdr:row>91</xdr:row>
      <xdr:rowOff>14288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FBBDC8-CA47-4350-9B96-83562F323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47625</xdr:colOff>
      <xdr:row>74</xdr:row>
      <xdr:rowOff>185738</xdr:rowOff>
    </xdr:from>
    <xdr:to>
      <xdr:col>14</xdr:col>
      <xdr:colOff>418041</xdr:colOff>
      <xdr:row>91</xdr:row>
      <xdr:rowOff>9526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5DA634-6FF4-4465-9DC0-47D019466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685800</xdr:colOff>
      <xdr:row>93</xdr:row>
      <xdr:rowOff>152400</xdr:rowOff>
    </xdr:from>
    <xdr:to>
      <xdr:col>10</xdr:col>
      <xdr:colOff>809625</xdr:colOff>
      <xdr:row>109</xdr:row>
      <xdr:rowOff>166688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8553EB-B110-411D-8EFB-BE6351967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0.60981</cdr:x>
      <cdr:y>0.85381</cdr:y>
    </cdr:from>
    <cdr:to>
      <cdr:x>0.98868</cdr:x>
      <cdr:y>0.98756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7FAB630-8933-6656-2D5E-394A9789A1B6}"/>
            </a:ext>
          </a:extLst>
        </cdr:cNvPr>
        <cdr:cNvSpPr txBox="1"/>
      </cdr:nvSpPr>
      <cdr:spPr>
        <a:xfrm xmlns:a="http://schemas.openxmlformats.org/drawingml/2006/main">
          <a:off x="3898108" y="2614613"/>
          <a:ext cx="2421880" cy="4095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0000FF"/>
          </a:solidFill>
          <a:prstDash val="dash"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rgbClr val="0000FF"/>
              </a:solidFill>
            </a:rPr>
            <a:t>Feed Water</a:t>
          </a:r>
          <a:r>
            <a:rPr lang="en-US" sz="1100" baseline="-25000">
              <a:solidFill>
                <a:srgbClr val="0000FF"/>
              </a:solidFill>
            </a:rPr>
            <a:t>total use </a:t>
          </a:r>
          <a:r>
            <a:rPr lang="en-US" sz="1100" baseline="0">
              <a:solidFill>
                <a:srgbClr val="0000FF"/>
              </a:solidFill>
            </a:rPr>
            <a:t>= 631.12 m</a:t>
          </a:r>
          <a:r>
            <a:rPr lang="en-US" sz="1100" baseline="30000">
              <a:solidFill>
                <a:srgbClr val="0000FF"/>
              </a:solidFill>
            </a:rPr>
            <a:t>3</a:t>
          </a:r>
          <a:endParaRPr lang="en-US" sz="1100" baseline="0">
            <a:solidFill>
              <a:srgbClr val="0000FF"/>
            </a:solidFill>
          </a:endParaRPr>
        </a:p>
        <a:p xmlns:a="http://schemas.openxmlformats.org/drawingml/2006/main"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Feed Water</a:t>
          </a:r>
          <a:r>
            <a:rPr lang="en-US" sz="1100" baseline="-25000">
              <a:solidFill>
                <a:schemeClr val="accent1">
                  <a:lumMod val="75000"/>
                </a:schemeClr>
              </a:solidFill>
            </a:rPr>
            <a:t>avg         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= 315.26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3000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/month</a:t>
          </a:r>
          <a:endParaRPr lang="en-US" sz="1100" baseline="-250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0.58786</cdr:x>
      <cdr:y>0.86884</cdr:y>
    </cdr:from>
    <cdr:to>
      <cdr:x>0.97659</cdr:x>
      <cdr:y>0.99977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43C6B9-FBDF-BE57-B43D-FBF3CC49C135}"/>
            </a:ext>
          </a:extLst>
        </cdr:cNvPr>
        <cdr:cNvSpPr txBox="1"/>
      </cdr:nvSpPr>
      <cdr:spPr>
        <a:xfrm xmlns:a="http://schemas.openxmlformats.org/drawingml/2006/main">
          <a:off x="3348420" y="2660638"/>
          <a:ext cx="2214179" cy="400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rgbClr val="00B050"/>
              </a:solidFill>
            </a:rPr>
            <a:t>Operate time</a:t>
          </a:r>
          <a:r>
            <a:rPr lang="en-US" sz="1100" baseline="-25000">
              <a:solidFill>
                <a:srgbClr val="00B050"/>
              </a:solidFill>
            </a:rPr>
            <a:t>total  </a:t>
          </a:r>
          <a:r>
            <a:rPr lang="en-US" sz="1100" baseline="0">
              <a:solidFill>
                <a:srgbClr val="00B050"/>
              </a:solidFill>
            </a:rPr>
            <a:t>= 2,179 hr</a:t>
          </a:r>
        </a:p>
        <a:p xmlns:a="http://schemas.openxmlformats.org/drawingml/2006/main">
          <a:pPr algn="l"/>
          <a:r>
            <a:rPr lang="en-US" sz="1100" baseline="0">
              <a:solidFill>
                <a:srgbClr val="006699"/>
              </a:solidFill>
            </a:rPr>
            <a:t>Operate time</a:t>
          </a:r>
          <a:r>
            <a:rPr lang="en-US" sz="1100" baseline="-25000">
              <a:solidFill>
                <a:srgbClr val="006699"/>
              </a:solidFill>
            </a:rPr>
            <a:t>avg   </a:t>
          </a:r>
          <a:r>
            <a:rPr lang="en-US" sz="1100" baseline="0">
              <a:solidFill>
                <a:srgbClr val="006699"/>
              </a:solidFill>
            </a:rPr>
            <a:t>=  1,089 </a:t>
          </a:r>
          <a:r>
            <a:rPr lang="en-US" sz="1100" baseline="0">
              <a:solidFill>
                <a:srgbClr val="006699"/>
              </a:solidFill>
              <a:effectLst/>
              <a:latin typeface="+mn-lt"/>
              <a:ea typeface="+mn-ea"/>
              <a:cs typeface="+mn-cs"/>
            </a:rPr>
            <a:t>hr/month</a:t>
          </a:r>
          <a:endParaRPr lang="en-US" sz="1100" baseline="-25000">
            <a:solidFill>
              <a:srgbClr val="006699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0.64178</cdr:x>
      <cdr:y>0.86236</cdr:y>
    </cdr:from>
    <cdr:to>
      <cdr:x>0.98628</cdr:x>
      <cdr:y>0.98289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8EACCD2-CA71-4EBD-8E3F-3F2B9D50C299}"/>
            </a:ext>
          </a:extLst>
        </cdr:cNvPr>
        <cdr:cNvSpPr txBox="1"/>
      </cdr:nvSpPr>
      <cdr:spPr>
        <a:xfrm xmlns:a="http://schemas.openxmlformats.org/drawingml/2006/main">
          <a:off x="3655541" y="2640796"/>
          <a:ext cx="1962255" cy="36909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FF0000"/>
          </a:solidFill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rgbClr val="FF0000"/>
              </a:solidFill>
            </a:rPr>
            <a:t>LPG</a:t>
          </a:r>
          <a:r>
            <a:rPr lang="en-US" sz="1100" baseline="-25000">
              <a:solidFill>
                <a:srgbClr val="FF0000"/>
              </a:solidFill>
            </a:rPr>
            <a:t>total use </a:t>
          </a:r>
          <a:r>
            <a:rPr lang="en-US" sz="1100" baseline="0">
              <a:solidFill>
                <a:srgbClr val="FF0000"/>
              </a:solidFill>
            </a:rPr>
            <a:t>= 14,638 m</a:t>
          </a:r>
          <a:r>
            <a:rPr lang="en-US" sz="1100" baseline="30000">
              <a:solidFill>
                <a:srgbClr val="FF0000"/>
              </a:solidFill>
            </a:rPr>
            <a:t>3</a:t>
          </a:r>
          <a:endParaRPr lang="en-US" sz="1100" baseline="0">
            <a:solidFill>
              <a:srgbClr val="FF0000"/>
            </a:solidFill>
          </a:endParaRPr>
        </a:p>
        <a:p xmlns:a="http://schemas.openxmlformats.org/drawingml/2006/main">
          <a:pPr algn="l"/>
          <a:r>
            <a:rPr lang="en-US" sz="1100" baseline="0">
              <a:solidFill>
                <a:srgbClr val="FF6600"/>
              </a:solidFill>
            </a:rPr>
            <a:t>LPG</a:t>
          </a:r>
          <a:r>
            <a:rPr lang="en-US" sz="1100" baseline="-25000">
              <a:solidFill>
                <a:srgbClr val="FF6600"/>
              </a:solidFill>
            </a:rPr>
            <a:t>avg          </a:t>
          </a:r>
          <a:r>
            <a:rPr lang="en-US" sz="1100" baseline="0">
              <a:solidFill>
                <a:srgbClr val="FF6600"/>
              </a:solidFill>
            </a:rPr>
            <a:t>= 7,319 </a:t>
          </a:r>
          <a:r>
            <a:rPr lang="en-US" sz="1100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3000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/month</a:t>
          </a:r>
          <a:endParaRPr lang="en-US" sz="1100" baseline="-25000">
            <a:solidFill>
              <a:srgbClr val="FF6600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0.54333</cdr:x>
      <cdr:y>0.84759</cdr:y>
    </cdr:from>
    <cdr:to>
      <cdr:x>0.93432</cdr:x>
      <cdr:y>0.98794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435E2-173D-4BD7-8D76-CB850FF82A85}"/>
            </a:ext>
          </a:extLst>
        </cdr:cNvPr>
        <cdr:cNvSpPr txBox="1"/>
      </cdr:nvSpPr>
      <cdr:spPr>
        <a:xfrm xmlns:a="http://schemas.openxmlformats.org/drawingml/2006/main">
          <a:off x="3489577" y="2595565"/>
          <a:ext cx="2511174" cy="429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993300"/>
              </a:solidFill>
              <a:effectLst/>
              <a:latin typeface="+mn-lt"/>
              <a:ea typeface="+mn-ea"/>
              <a:cs typeface="+mn-cs"/>
            </a:rPr>
            <a:t>Blowdown time </a:t>
          </a:r>
          <a:r>
            <a:rPr lang="en-US" sz="1100" baseline="-25000">
              <a:solidFill>
                <a:srgbClr val="993300"/>
              </a:solidFill>
              <a:effectLst/>
              <a:latin typeface="+mn-lt"/>
              <a:ea typeface="+mn-ea"/>
              <a:cs typeface="+mn-cs"/>
            </a:rPr>
            <a:t>total       </a:t>
          </a:r>
          <a:r>
            <a:rPr lang="en-US" sz="1100" baseline="0">
              <a:solidFill>
                <a:srgbClr val="993300"/>
              </a:solidFill>
              <a:effectLst/>
              <a:latin typeface="+mn-lt"/>
              <a:ea typeface="+mn-ea"/>
              <a:cs typeface="+mn-cs"/>
            </a:rPr>
            <a:t>= 1,460 min</a:t>
          </a:r>
          <a:endParaRPr lang="en-US">
            <a:solidFill>
              <a:srgbClr val="993300"/>
            </a:solidFill>
            <a:effectLst/>
          </a:endParaRPr>
        </a:p>
        <a:p xmlns:a="http://schemas.openxmlformats.org/drawingml/2006/main">
          <a:pPr algn="l"/>
          <a:r>
            <a:rPr lang="en-US" sz="1100" baseline="0">
              <a:solidFill>
                <a:srgbClr val="CC6600"/>
              </a:solidFill>
            </a:rPr>
            <a:t>Blowdown time </a:t>
          </a:r>
          <a:r>
            <a:rPr lang="en-US" sz="1100" baseline="-25000">
              <a:solidFill>
                <a:srgbClr val="CC6600"/>
              </a:solidFill>
            </a:rPr>
            <a:t>avg         </a:t>
          </a:r>
          <a:r>
            <a:rPr lang="en-US" sz="1100" baseline="0">
              <a:solidFill>
                <a:srgbClr val="CC6600"/>
              </a:solidFill>
            </a:rPr>
            <a:t>= 730 min/month</a:t>
          </a:r>
          <a:endParaRPr lang="en-US" sz="1100" baseline="-25000">
            <a:solidFill>
              <a:srgbClr val="CC660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0.47506</cdr:x>
      <cdr:y>0.86781</cdr:y>
    </cdr:from>
    <cdr:to>
      <cdr:x>0.89626</cdr:x>
      <cdr:y>0.96617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435E2-173D-4BD7-8D76-CB850FF82A85}"/>
            </a:ext>
          </a:extLst>
        </cdr:cNvPr>
        <cdr:cNvSpPr txBox="1"/>
      </cdr:nvSpPr>
      <cdr:spPr>
        <a:xfrm xmlns:a="http://schemas.openxmlformats.org/drawingml/2006/main">
          <a:off x="2660673" y="2657475"/>
          <a:ext cx="2359002" cy="3012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aseline="0">
              <a:solidFill>
                <a:srgbClr val="9933FF"/>
              </a:solidFill>
            </a:rPr>
            <a:t>pH </a:t>
          </a:r>
          <a:r>
            <a:rPr lang="en-US" sz="1100" baseline="-25000">
              <a:solidFill>
                <a:srgbClr val="9933FF"/>
              </a:solidFill>
            </a:rPr>
            <a:t>avg         </a:t>
          </a:r>
          <a:r>
            <a:rPr lang="en-US" sz="1100" baseline="0">
              <a:solidFill>
                <a:srgbClr val="9933FF"/>
              </a:solidFill>
            </a:rPr>
            <a:t>= 8.8  </a:t>
          </a:r>
          <a:r>
            <a:rPr lang="en-US" sz="1100" baseline="0">
              <a:solidFill>
                <a:srgbClr val="FF0000"/>
              </a:solidFill>
            </a:rPr>
            <a:t>:    Std pH = 5.8-9.5 </a:t>
          </a:r>
          <a:endParaRPr lang="en-US" sz="1100" baseline="-25000">
            <a:solidFill>
              <a:srgbClr val="FF0000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0.38946</cdr:x>
      <cdr:y>0.8647</cdr:y>
    </cdr:from>
    <cdr:to>
      <cdr:x>0.81803</cdr:x>
      <cdr:y>0.96306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435E2-173D-4BD7-8D76-CB850FF82A85}"/>
            </a:ext>
          </a:extLst>
        </cdr:cNvPr>
        <cdr:cNvSpPr txBox="1"/>
      </cdr:nvSpPr>
      <cdr:spPr>
        <a:xfrm xmlns:a="http://schemas.openxmlformats.org/drawingml/2006/main">
          <a:off x="2181250" y="2647960"/>
          <a:ext cx="2400276" cy="3012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aseline="0">
              <a:solidFill>
                <a:srgbClr val="0066FF"/>
              </a:solidFill>
            </a:rPr>
            <a:t>pH </a:t>
          </a:r>
          <a:r>
            <a:rPr lang="en-US" sz="1100" baseline="-25000">
              <a:solidFill>
                <a:srgbClr val="0066FF"/>
              </a:solidFill>
            </a:rPr>
            <a:t>avg         </a:t>
          </a:r>
          <a:r>
            <a:rPr lang="en-US" sz="1100" baseline="0">
              <a:solidFill>
                <a:srgbClr val="0066FF"/>
              </a:solidFill>
            </a:rPr>
            <a:t>= 10.8 </a:t>
          </a:r>
          <a:r>
            <a:rPr lang="en-US" sz="1100" baseline="0">
              <a:solidFill>
                <a:srgbClr val="FF0000"/>
              </a:solidFill>
            </a:rPr>
            <a:t>:    Std pH = 8.5-11.8  </a:t>
          </a:r>
          <a:endParaRPr lang="en-US" sz="1100" baseline="-25000">
            <a:solidFill>
              <a:srgbClr val="FF0000"/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0.26701</cdr:x>
      <cdr:y>0.86781</cdr:y>
    </cdr:from>
    <cdr:to>
      <cdr:x>0.81463</cdr:x>
      <cdr:y>0.96617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435E2-173D-4BD7-8D76-CB850FF82A85}"/>
            </a:ext>
          </a:extLst>
        </cdr:cNvPr>
        <cdr:cNvSpPr txBox="1"/>
      </cdr:nvSpPr>
      <cdr:spPr>
        <a:xfrm xmlns:a="http://schemas.openxmlformats.org/drawingml/2006/main">
          <a:off x="1495425" y="2657484"/>
          <a:ext cx="3067049" cy="3012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aseline="0">
              <a:solidFill>
                <a:srgbClr val="006666"/>
              </a:solidFill>
            </a:rPr>
            <a:t>TH </a:t>
          </a:r>
          <a:r>
            <a:rPr lang="en-US" sz="1100" baseline="-25000">
              <a:solidFill>
                <a:srgbClr val="006666"/>
              </a:solidFill>
            </a:rPr>
            <a:t>avg         </a:t>
          </a:r>
          <a:r>
            <a:rPr lang="en-US" sz="1100" baseline="0">
              <a:solidFill>
                <a:srgbClr val="006666"/>
              </a:solidFill>
            </a:rPr>
            <a:t>= 3.0  </a:t>
          </a:r>
          <a:r>
            <a:rPr lang="en-US" sz="1100" baseline="0">
              <a:solidFill>
                <a:srgbClr val="FF0000"/>
              </a:solidFill>
            </a:rPr>
            <a:t>:    Std TH &lt; 10 ppm as CaCO3</a:t>
          </a:r>
          <a:endParaRPr lang="en-US" sz="1100" baseline="-25000">
            <a:solidFill>
              <a:srgbClr val="FF0000"/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0.26701</cdr:x>
      <cdr:y>0.86781</cdr:y>
    </cdr:from>
    <cdr:to>
      <cdr:x>0.77381</cdr:x>
      <cdr:y>0.96617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435E2-173D-4BD7-8D76-CB850FF82A85}"/>
            </a:ext>
          </a:extLst>
        </cdr:cNvPr>
        <cdr:cNvSpPr txBox="1"/>
      </cdr:nvSpPr>
      <cdr:spPr>
        <a:xfrm xmlns:a="http://schemas.openxmlformats.org/drawingml/2006/main">
          <a:off x="1495443" y="2657484"/>
          <a:ext cx="2838432" cy="3012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aseline="0">
              <a:solidFill>
                <a:srgbClr val="CC6600"/>
              </a:solidFill>
            </a:rPr>
            <a:t>TDS </a:t>
          </a:r>
          <a:r>
            <a:rPr lang="en-US" sz="1100" baseline="-25000">
              <a:solidFill>
                <a:srgbClr val="CC6600"/>
              </a:solidFill>
            </a:rPr>
            <a:t>avg         </a:t>
          </a:r>
          <a:r>
            <a:rPr lang="en-US" sz="1100" baseline="0">
              <a:solidFill>
                <a:srgbClr val="CC6600"/>
              </a:solidFill>
            </a:rPr>
            <a:t>= 1,325.1  </a:t>
          </a:r>
          <a:r>
            <a:rPr lang="en-US" sz="1100" baseline="0">
              <a:solidFill>
                <a:srgbClr val="FF0000"/>
              </a:solidFill>
            </a:rPr>
            <a:t>:    Std TH &lt; 3,500 ppm </a:t>
          </a:r>
          <a:endParaRPr lang="en-US" sz="1100" baseline="-250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0.1794</cdr:x>
      <cdr:y>0.03266</cdr:y>
    </cdr:from>
    <cdr:to>
      <cdr:x>0.9</cdr:x>
      <cdr:y>0.11975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5D9CDB0-CFF0-02DF-DBEF-69CB96368CF5}"/>
            </a:ext>
          </a:extLst>
        </cdr:cNvPr>
        <cdr:cNvSpPr txBox="1"/>
      </cdr:nvSpPr>
      <cdr:spPr>
        <a:xfrm xmlns:a="http://schemas.openxmlformats.org/drawingml/2006/main">
          <a:off x="1143000" y="100012"/>
          <a:ext cx="4591049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Total Dissolved Solid (TDS) of Boiler water on Jan-Dec</a:t>
          </a:r>
          <a:r>
            <a:rPr lang="en-US" sz="1400" b="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, 2023 </a:t>
          </a:r>
          <a:endParaRPr lang="en-US" sz="1400" b="0">
            <a:solidFill>
              <a:schemeClr val="accent2"/>
            </a:solidFill>
          </a:endParaRP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0.26701</cdr:x>
      <cdr:y>0.86781</cdr:y>
    </cdr:from>
    <cdr:to>
      <cdr:x>0.81463</cdr:x>
      <cdr:y>0.96617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435E2-173D-4BD7-8D76-CB850FF82A85}"/>
            </a:ext>
          </a:extLst>
        </cdr:cNvPr>
        <cdr:cNvSpPr txBox="1"/>
      </cdr:nvSpPr>
      <cdr:spPr>
        <a:xfrm xmlns:a="http://schemas.openxmlformats.org/drawingml/2006/main">
          <a:off x="1495425" y="2657484"/>
          <a:ext cx="3067049" cy="3012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aseline="0">
              <a:solidFill>
                <a:srgbClr val="006666"/>
              </a:solidFill>
            </a:rPr>
            <a:t>TH </a:t>
          </a:r>
          <a:r>
            <a:rPr lang="en-US" sz="1100" baseline="-25000">
              <a:solidFill>
                <a:srgbClr val="006666"/>
              </a:solidFill>
            </a:rPr>
            <a:t>avg         </a:t>
          </a:r>
          <a:r>
            <a:rPr lang="en-US" sz="1100" baseline="0">
              <a:solidFill>
                <a:srgbClr val="006666"/>
              </a:solidFill>
            </a:rPr>
            <a:t>= 3.0  </a:t>
          </a:r>
          <a:r>
            <a:rPr lang="en-US" sz="1100" baseline="0">
              <a:solidFill>
                <a:srgbClr val="FF0000"/>
              </a:solidFill>
            </a:rPr>
            <a:t>:    Std TH &lt; 10 ppm as CaCO3</a:t>
          </a:r>
          <a:endParaRPr lang="en-US" sz="1100" baseline="-25000">
            <a:solidFill>
              <a:srgbClr val="FF0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aragon\www\eums\assets\templates\boiler_daily.xlsx" TargetMode="External"/><Relationship Id="rId1" Type="http://schemas.openxmlformats.org/officeDocument/2006/relationships/externalLinkPath" Target="boiler_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' 23    "/>
    </sheetNames>
    <sheetDataSet>
      <sheetData sheetId="0">
        <row r="4">
          <cell r="C4" t="str">
            <v xml:space="preserve">LPG consumption </v>
          </cell>
          <cell r="F4" t="str">
            <v xml:space="preserve">Feed Water consumption </v>
          </cell>
          <cell r="I4" t="str">
            <v>Operate time</v>
          </cell>
          <cell r="J4" t="str">
            <v>Power</v>
          </cell>
          <cell r="K4" t="str">
            <v xml:space="preserve">                                              </v>
          </cell>
        </row>
        <row r="5">
          <cell r="L5" t="str">
            <v>Soft water</v>
          </cell>
          <cell r="M5" t="str">
            <v>Feed water</v>
          </cell>
          <cell r="N5" t="str">
            <v>Boiler water</v>
          </cell>
          <cell r="P5" t="str">
            <v>Feed water</v>
          </cell>
          <cell r="S5" t="str">
            <v>Boiler water</v>
          </cell>
        </row>
        <row r="7">
          <cell r="A7">
            <v>1</v>
          </cell>
        </row>
        <row r="10">
          <cell r="A10">
            <v>2</v>
          </cell>
        </row>
        <row r="13">
          <cell r="A13">
            <v>3</v>
          </cell>
        </row>
        <row r="16">
          <cell r="A16">
            <v>4</v>
          </cell>
        </row>
        <row r="19">
          <cell r="A19">
            <v>5</v>
          </cell>
        </row>
        <row r="22">
          <cell r="A22">
            <v>6</v>
          </cell>
        </row>
        <row r="25">
          <cell r="A25">
            <v>7</v>
          </cell>
        </row>
        <row r="28">
          <cell r="A28">
            <v>8</v>
          </cell>
        </row>
        <row r="31">
          <cell r="A31">
            <v>9</v>
          </cell>
        </row>
        <row r="34">
          <cell r="A34">
            <v>10</v>
          </cell>
        </row>
        <row r="37">
          <cell r="A37">
            <v>11</v>
          </cell>
        </row>
        <row r="40">
          <cell r="A40">
            <v>12</v>
          </cell>
        </row>
        <row r="43">
          <cell r="A43">
            <v>13</v>
          </cell>
        </row>
        <row r="46">
          <cell r="A46">
            <v>14</v>
          </cell>
        </row>
        <row r="49">
          <cell r="A49">
            <v>15</v>
          </cell>
        </row>
        <row r="52">
          <cell r="A52">
            <v>16</v>
          </cell>
        </row>
        <row r="55">
          <cell r="A55">
            <v>17</v>
          </cell>
        </row>
        <row r="58">
          <cell r="A58">
            <v>18</v>
          </cell>
        </row>
        <row r="61">
          <cell r="A61">
            <v>19</v>
          </cell>
        </row>
        <row r="64">
          <cell r="A64">
            <v>20</v>
          </cell>
        </row>
        <row r="67">
          <cell r="A67">
            <v>21</v>
          </cell>
        </row>
        <row r="70">
          <cell r="A70">
            <v>22</v>
          </cell>
        </row>
        <row r="73">
          <cell r="A73">
            <v>23</v>
          </cell>
        </row>
        <row r="76">
          <cell r="A76">
            <v>24</v>
          </cell>
        </row>
        <row r="79">
          <cell r="A79">
            <v>25</v>
          </cell>
        </row>
        <row r="82">
          <cell r="A82">
            <v>26</v>
          </cell>
        </row>
        <row r="85">
          <cell r="A85">
            <v>27</v>
          </cell>
        </row>
        <row r="88">
          <cell r="A88">
            <v>28</v>
          </cell>
        </row>
        <row r="91">
          <cell r="A91">
            <v>29</v>
          </cell>
        </row>
        <row r="94">
          <cell r="A94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8DA6-5815-4EE0-9DD5-FB35141B477F}">
  <sheetPr>
    <tabColor rgb="FFFF0000"/>
  </sheetPr>
  <dimension ref="A1:AL105"/>
  <sheetViews>
    <sheetView tabSelected="1" topLeftCell="A94" zoomScale="95" zoomScaleNormal="95" workbookViewId="0">
      <selection activeCell="W99" sqref="W99"/>
    </sheetView>
  </sheetViews>
  <sheetFormatPr defaultColWidth="9.140625" defaultRowHeight="15" x14ac:dyDescent="0.25"/>
  <cols>
    <col min="1" max="1" width="6" style="1" customWidth="1"/>
    <col min="2" max="2" width="12.42578125" style="1" customWidth="1"/>
    <col min="3" max="4" width="12.140625" style="1" customWidth="1"/>
    <col min="5" max="5" width="13.140625" style="1" bestFit="1" customWidth="1"/>
    <col min="6" max="6" width="12.5703125" style="1" bestFit="1" customWidth="1"/>
    <col min="7" max="7" width="11.5703125" style="1" customWidth="1"/>
    <col min="8" max="8" width="12.5703125" style="1" customWidth="1"/>
    <col min="9" max="11" width="10.140625" style="1" customWidth="1"/>
    <col min="12" max="12" width="11.140625" style="1" customWidth="1"/>
    <col min="13" max="13" width="13.85546875" style="1" customWidth="1"/>
    <col min="14" max="14" width="15.42578125" style="1" customWidth="1"/>
    <col min="15" max="15" width="11.28515625" style="1" customWidth="1"/>
    <col min="16" max="16" width="21.5703125" style="1" customWidth="1"/>
    <col min="17" max="18" width="11.140625" style="1" customWidth="1"/>
    <col min="19" max="19" width="15.85546875" style="1" customWidth="1"/>
    <col min="20" max="20" width="11.42578125" style="1" customWidth="1"/>
    <col min="21" max="35" width="9.140625" style="1"/>
    <col min="36" max="36" width="11.140625" style="1" customWidth="1"/>
    <col min="37" max="37" width="13.5703125" style="1" customWidth="1"/>
    <col min="38" max="16384" width="9.140625" style="1"/>
  </cols>
  <sheetData>
    <row r="1" spans="1:20" x14ac:dyDescent="0.25">
      <c r="A1" s="71" t="s">
        <v>48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0" ht="15" customHeight="1" x14ac:dyDescent="0.25">
      <c r="A4" s="65" t="s">
        <v>11</v>
      </c>
      <c r="B4" s="63" t="s">
        <v>23</v>
      </c>
      <c r="C4" s="74" t="s">
        <v>4</v>
      </c>
      <c r="D4" s="75"/>
      <c r="E4" s="76"/>
      <c r="F4" s="74" t="s">
        <v>25</v>
      </c>
      <c r="G4" s="75"/>
      <c r="H4" s="76"/>
      <c r="I4" s="77" t="s">
        <v>26</v>
      </c>
      <c r="J4" s="65" t="s">
        <v>9</v>
      </c>
      <c r="K4" s="77" t="s">
        <v>47</v>
      </c>
      <c r="L4" s="60" t="s">
        <v>13</v>
      </c>
      <c r="M4" s="61"/>
      <c r="N4" s="61"/>
      <c r="O4" s="60" t="s">
        <v>21</v>
      </c>
      <c r="P4" s="61"/>
      <c r="Q4" s="60" t="s">
        <v>20</v>
      </c>
      <c r="R4" s="61"/>
      <c r="S4" s="62"/>
      <c r="T4" s="65" t="s">
        <v>24</v>
      </c>
    </row>
    <row r="5" spans="1:20" x14ac:dyDescent="0.25">
      <c r="A5" s="70"/>
      <c r="B5" s="73"/>
      <c r="C5" s="67" t="s">
        <v>5</v>
      </c>
      <c r="D5" s="68"/>
      <c r="E5" s="69"/>
      <c r="F5" s="67" t="s">
        <v>5</v>
      </c>
      <c r="G5" s="68"/>
      <c r="H5" s="69"/>
      <c r="I5" s="78"/>
      <c r="J5" s="70"/>
      <c r="K5" s="78"/>
      <c r="L5" s="65" t="s">
        <v>14</v>
      </c>
      <c r="M5" s="5" t="s">
        <v>15</v>
      </c>
      <c r="N5" s="2" t="s">
        <v>16</v>
      </c>
      <c r="O5" s="65" t="s">
        <v>14</v>
      </c>
      <c r="P5" s="5" t="s">
        <v>15</v>
      </c>
      <c r="Q5" s="65" t="s">
        <v>14</v>
      </c>
      <c r="R5" s="65" t="s">
        <v>15</v>
      </c>
      <c r="S5" s="9" t="s">
        <v>16</v>
      </c>
      <c r="T5" s="70"/>
    </row>
    <row r="6" spans="1:20" x14ac:dyDescent="0.25">
      <c r="A6" s="66"/>
      <c r="B6" s="64"/>
      <c r="C6" s="37" t="s">
        <v>1</v>
      </c>
      <c r="D6" s="5" t="s">
        <v>2</v>
      </c>
      <c r="E6" s="9" t="s">
        <v>3</v>
      </c>
      <c r="F6" s="37" t="s">
        <v>1</v>
      </c>
      <c r="G6" s="5" t="s">
        <v>2</v>
      </c>
      <c r="H6" s="9" t="s">
        <v>3</v>
      </c>
      <c r="I6" s="6" t="s">
        <v>27</v>
      </c>
      <c r="J6" s="6" t="s">
        <v>10</v>
      </c>
      <c r="K6" s="6" t="s">
        <v>8</v>
      </c>
      <c r="L6" s="70"/>
      <c r="M6" s="6" t="s">
        <v>19</v>
      </c>
      <c r="N6" s="3" t="s">
        <v>18</v>
      </c>
      <c r="O6" s="70"/>
      <c r="P6" s="6" t="s">
        <v>22</v>
      </c>
      <c r="Q6" s="70"/>
      <c r="R6" s="70"/>
      <c r="S6" s="38" t="s">
        <v>17</v>
      </c>
      <c r="T6" s="70"/>
    </row>
    <row r="7" spans="1:20" x14ac:dyDescent="0.25">
      <c r="A7" s="65">
        <v>1</v>
      </c>
      <c r="B7" s="4" t="s">
        <v>6</v>
      </c>
      <c r="C7" s="39"/>
      <c r="D7" s="16"/>
      <c r="E7" s="21"/>
      <c r="F7" s="16"/>
      <c r="G7" s="16"/>
      <c r="H7" s="21"/>
      <c r="I7" s="21"/>
      <c r="J7" s="21"/>
      <c r="K7" s="21"/>
      <c r="L7" s="21"/>
      <c r="M7" s="21"/>
      <c r="N7" s="21"/>
      <c r="O7" s="21"/>
      <c r="P7" s="21"/>
      <c r="Q7" s="21"/>
      <c r="R7" s="31"/>
      <c r="S7" s="21"/>
      <c r="T7" s="22"/>
    </row>
    <row r="8" spans="1:20" x14ac:dyDescent="0.25">
      <c r="A8" s="70"/>
      <c r="B8" s="4" t="s">
        <v>12</v>
      </c>
      <c r="C8" s="41"/>
      <c r="D8" s="4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31"/>
      <c r="S8" s="21"/>
      <c r="T8" s="22"/>
    </row>
    <row r="9" spans="1:20" x14ac:dyDescent="0.25">
      <c r="A9" s="66"/>
      <c r="B9" s="4" t="s">
        <v>45</v>
      </c>
      <c r="C9" s="41"/>
      <c r="D9" s="4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31"/>
      <c r="S9" s="21"/>
      <c r="T9" s="22"/>
    </row>
    <row r="10" spans="1:20" x14ac:dyDescent="0.25">
      <c r="A10" s="65">
        <v>2</v>
      </c>
      <c r="B10" s="4" t="s">
        <v>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31"/>
      <c r="S10" s="21"/>
      <c r="T10" s="22"/>
    </row>
    <row r="11" spans="1:20" x14ac:dyDescent="0.25">
      <c r="A11" s="70"/>
      <c r="B11" s="4" t="s">
        <v>12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31"/>
      <c r="S11" s="21"/>
      <c r="T11" s="22"/>
    </row>
    <row r="12" spans="1:20" x14ac:dyDescent="0.25">
      <c r="A12" s="66"/>
      <c r="B12" s="4" t="s">
        <v>45</v>
      </c>
      <c r="C12" s="40"/>
      <c r="D12" s="4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31"/>
      <c r="S12" s="21"/>
      <c r="T12" s="22"/>
    </row>
    <row r="13" spans="1:20" x14ac:dyDescent="0.25">
      <c r="A13" s="65">
        <v>3</v>
      </c>
      <c r="B13" s="4" t="s">
        <v>6</v>
      </c>
      <c r="C13" s="40"/>
      <c r="D13" s="21"/>
      <c r="E13" s="21"/>
      <c r="F13" s="21"/>
      <c r="G13" s="21"/>
      <c r="H13" s="21"/>
      <c r="I13" s="21"/>
      <c r="J13" s="48"/>
      <c r="K13" s="48"/>
      <c r="L13" s="48"/>
      <c r="M13" s="48"/>
      <c r="N13" s="48"/>
      <c r="O13" s="48"/>
      <c r="P13" s="21"/>
      <c r="Q13" s="21"/>
      <c r="R13" s="31"/>
      <c r="S13" s="21"/>
      <c r="T13" s="22"/>
    </row>
    <row r="14" spans="1:20" x14ac:dyDescent="0.25">
      <c r="A14" s="70"/>
      <c r="B14" s="4" t="s">
        <v>12</v>
      </c>
      <c r="C14" s="40"/>
      <c r="D14" s="21"/>
      <c r="E14" s="21"/>
      <c r="F14" s="21"/>
      <c r="G14" s="21"/>
      <c r="H14" s="21"/>
      <c r="I14" s="21"/>
      <c r="J14" s="48"/>
      <c r="K14" s="48"/>
      <c r="L14" s="48"/>
      <c r="M14" s="48"/>
      <c r="N14" s="48"/>
      <c r="O14" s="48"/>
      <c r="P14" s="21"/>
      <c r="Q14" s="21"/>
      <c r="R14" s="31"/>
      <c r="S14" s="21"/>
      <c r="T14" s="22"/>
    </row>
    <row r="15" spans="1:20" x14ac:dyDescent="0.25">
      <c r="A15" s="66"/>
      <c r="B15" s="4" t="s">
        <v>45</v>
      </c>
      <c r="C15" s="4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31"/>
      <c r="S15" s="21"/>
      <c r="T15" s="22"/>
    </row>
    <row r="16" spans="1:20" x14ac:dyDescent="0.25">
      <c r="A16" s="65">
        <v>4</v>
      </c>
      <c r="B16" s="4" t="s">
        <v>6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31"/>
      <c r="S16" s="21"/>
      <c r="T16" s="30"/>
    </row>
    <row r="17" spans="1:20" x14ac:dyDescent="0.25">
      <c r="A17" s="70"/>
      <c r="B17" s="4" t="s">
        <v>12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31"/>
      <c r="S17" s="21"/>
      <c r="T17" s="30"/>
    </row>
    <row r="18" spans="1:20" x14ac:dyDescent="0.25">
      <c r="A18" s="66"/>
      <c r="B18" s="4" t="s">
        <v>45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31"/>
      <c r="S18" s="21"/>
      <c r="T18" s="30"/>
    </row>
    <row r="19" spans="1:20" x14ac:dyDescent="0.25">
      <c r="A19" s="65">
        <v>5</v>
      </c>
      <c r="B19" s="4" t="s">
        <v>6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31"/>
      <c r="S19" s="21"/>
      <c r="T19" s="22"/>
    </row>
    <row r="20" spans="1:20" x14ac:dyDescent="0.25">
      <c r="A20" s="70"/>
      <c r="B20" s="4" t="s">
        <v>12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1"/>
      <c r="S20" s="21"/>
      <c r="T20" s="22"/>
    </row>
    <row r="21" spans="1:20" x14ac:dyDescent="0.25">
      <c r="A21" s="66"/>
      <c r="B21" s="4" t="s">
        <v>45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31"/>
      <c r="S21" s="21"/>
      <c r="T21" s="22"/>
    </row>
    <row r="22" spans="1:20" x14ac:dyDescent="0.25">
      <c r="A22" s="65">
        <v>6</v>
      </c>
      <c r="B22" s="4" t="s">
        <v>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31"/>
      <c r="S22" s="21"/>
      <c r="T22" s="22"/>
    </row>
    <row r="23" spans="1:20" x14ac:dyDescent="0.25">
      <c r="A23" s="70"/>
      <c r="B23" s="4" t="s">
        <v>12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31"/>
      <c r="S23" s="21"/>
      <c r="T23" s="22"/>
    </row>
    <row r="24" spans="1:20" x14ac:dyDescent="0.25">
      <c r="A24" s="66"/>
      <c r="B24" s="4" t="s">
        <v>45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31"/>
      <c r="S24" s="21"/>
      <c r="T24" s="22"/>
    </row>
    <row r="25" spans="1:20" x14ac:dyDescent="0.25">
      <c r="A25" s="65">
        <v>7</v>
      </c>
      <c r="B25" s="4" t="s">
        <v>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31"/>
      <c r="S25" s="21"/>
      <c r="T25" s="22"/>
    </row>
    <row r="26" spans="1:20" x14ac:dyDescent="0.25">
      <c r="A26" s="70"/>
      <c r="B26" s="4" t="s">
        <v>12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31"/>
      <c r="S26" s="21"/>
      <c r="T26" s="22"/>
    </row>
    <row r="27" spans="1:20" x14ac:dyDescent="0.25">
      <c r="A27" s="66"/>
      <c r="B27" s="4" t="s">
        <v>45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31"/>
      <c r="S27" s="21"/>
      <c r="T27" s="22"/>
    </row>
    <row r="28" spans="1:20" x14ac:dyDescent="0.25">
      <c r="A28" s="65">
        <v>8</v>
      </c>
      <c r="B28" s="4" t="s">
        <v>6</v>
      </c>
      <c r="C28" s="21"/>
      <c r="D28" s="21"/>
      <c r="E28" s="21"/>
      <c r="F28" s="40"/>
      <c r="G28" s="40"/>
      <c r="H28" s="21"/>
      <c r="I28" s="21"/>
      <c r="J28" s="21"/>
      <c r="K28" s="21"/>
      <c r="L28" s="21"/>
      <c r="M28" s="21"/>
      <c r="N28" s="21"/>
      <c r="O28" s="21"/>
      <c r="P28" s="21"/>
      <c r="Q28" s="31"/>
      <c r="R28" s="31"/>
      <c r="S28" s="31"/>
      <c r="T28" s="22"/>
    </row>
    <row r="29" spans="1:20" x14ac:dyDescent="0.25">
      <c r="A29" s="70"/>
      <c r="B29" s="4" t="s">
        <v>12</v>
      </c>
      <c r="C29" s="21"/>
      <c r="D29" s="21"/>
      <c r="E29" s="21"/>
      <c r="F29" s="40"/>
      <c r="G29" s="40"/>
      <c r="H29" s="21"/>
      <c r="I29" s="21"/>
      <c r="J29" s="21"/>
      <c r="K29" s="21"/>
      <c r="L29" s="21"/>
      <c r="M29" s="21"/>
      <c r="N29" s="21"/>
      <c r="O29" s="21"/>
      <c r="P29" s="21"/>
      <c r="Q29" s="31"/>
      <c r="R29" s="31"/>
      <c r="S29" s="31"/>
      <c r="T29" s="22"/>
    </row>
    <row r="30" spans="1:20" x14ac:dyDescent="0.25">
      <c r="A30" s="66"/>
      <c r="B30" s="4" t="s">
        <v>45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31"/>
      <c r="S30" s="21"/>
      <c r="T30" s="22"/>
    </row>
    <row r="31" spans="1:20" x14ac:dyDescent="0.25">
      <c r="A31" s="65">
        <v>9</v>
      </c>
      <c r="B31" s="4" t="s">
        <v>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31"/>
      <c r="S31" s="21"/>
      <c r="T31" s="22"/>
    </row>
    <row r="32" spans="1:20" x14ac:dyDescent="0.25">
      <c r="A32" s="70"/>
      <c r="B32" s="4" t="s">
        <v>12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31"/>
      <c r="S32" s="21"/>
      <c r="T32" s="22"/>
    </row>
    <row r="33" spans="1:38" x14ac:dyDescent="0.25">
      <c r="A33" s="66"/>
      <c r="B33" s="4" t="s">
        <v>45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31"/>
      <c r="S33" s="31"/>
      <c r="T33" s="22"/>
    </row>
    <row r="34" spans="1:38" x14ac:dyDescent="0.25">
      <c r="A34" s="63">
        <v>10</v>
      </c>
      <c r="B34" s="4" t="s">
        <v>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31"/>
      <c r="S34" s="21"/>
      <c r="T34" s="22"/>
    </row>
    <row r="35" spans="1:38" x14ac:dyDescent="0.25">
      <c r="A35" s="73"/>
      <c r="B35" s="4" t="s">
        <v>12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31"/>
      <c r="S35" s="21"/>
      <c r="T35" s="22"/>
    </row>
    <row r="36" spans="1:38" x14ac:dyDescent="0.25">
      <c r="A36" s="64"/>
      <c r="B36" s="4" t="s">
        <v>45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31"/>
      <c r="S36" s="21"/>
      <c r="T36" s="22"/>
    </row>
    <row r="37" spans="1:38" x14ac:dyDescent="0.25">
      <c r="A37" s="63">
        <v>11</v>
      </c>
      <c r="B37" s="4" t="s">
        <v>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31"/>
      <c r="S37" s="21"/>
      <c r="T37" s="22"/>
    </row>
    <row r="38" spans="1:38" x14ac:dyDescent="0.25">
      <c r="A38" s="73"/>
      <c r="B38" s="4" t="s">
        <v>12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31"/>
      <c r="S38" s="21"/>
      <c r="T38" s="22"/>
    </row>
    <row r="39" spans="1:38" x14ac:dyDescent="0.25">
      <c r="A39" s="64"/>
      <c r="B39" s="4" t="s">
        <v>45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31"/>
      <c r="S39" s="21"/>
      <c r="T39" s="22"/>
    </row>
    <row r="40" spans="1:38" x14ac:dyDescent="0.25">
      <c r="A40" s="65">
        <v>12</v>
      </c>
      <c r="B40" s="4" t="s">
        <v>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31"/>
      <c r="S40" s="21"/>
      <c r="T40" s="22"/>
    </row>
    <row r="41" spans="1:38" x14ac:dyDescent="0.25">
      <c r="A41" s="70"/>
      <c r="B41" s="4" t="s">
        <v>12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31"/>
      <c r="S41" s="21"/>
      <c r="T41" s="22"/>
    </row>
    <row r="42" spans="1:38" x14ac:dyDescent="0.25">
      <c r="A42" s="66"/>
      <c r="B42" s="4" t="s">
        <v>45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31"/>
      <c r="S42" s="21"/>
      <c r="T42" s="22"/>
    </row>
    <row r="43" spans="1:38" x14ac:dyDescent="0.25">
      <c r="A43" s="65">
        <v>13</v>
      </c>
      <c r="B43" s="4" t="s">
        <v>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31"/>
      <c r="S43" s="21"/>
      <c r="T43" s="22"/>
      <c r="AL43" s="11"/>
    </row>
    <row r="44" spans="1:38" x14ac:dyDescent="0.25">
      <c r="A44" s="70"/>
      <c r="B44" s="4" t="s">
        <v>12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31"/>
      <c r="S44" s="21"/>
      <c r="T44" s="22"/>
      <c r="AL44" s="11"/>
    </row>
    <row r="45" spans="1:38" x14ac:dyDescent="0.25">
      <c r="A45" s="66"/>
      <c r="B45" s="4" t="s">
        <v>45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31"/>
      <c r="S45" s="21"/>
      <c r="T45" s="21"/>
    </row>
    <row r="46" spans="1:38" x14ac:dyDescent="0.25">
      <c r="A46" s="65">
        <v>14</v>
      </c>
      <c r="B46" s="4" t="s">
        <v>6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31"/>
      <c r="S46" s="21"/>
      <c r="T46" s="21"/>
    </row>
    <row r="47" spans="1:38" x14ac:dyDescent="0.25">
      <c r="A47" s="70"/>
      <c r="B47" s="4" t="s">
        <v>12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31"/>
      <c r="S47" s="21"/>
      <c r="T47" s="21"/>
    </row>
    <row r="48" spans="1:38" x14ac:dyDescent="0.25">
      <c r="A48" s="66"/>
      <c r="B48" s="4" t="s">
        <v>45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31"/>
      <c r="S48" s="21"/>
      <c r="T48" s="22"/>
    </row>
    <row r="49" spans="1:23" x14ac:dyDescent="0.25">
      <c r="A49" s="65">
        <v>15</v>
      </c>
      <c r="B49" s="4" t="s">
        <v>6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31"/>
      <c r="S49" s="21"/>
      <c r="T49" s="22"/>
    </row>
    <row r="50" spans="1:23" x14ac:dyDescent="0.25">
      <c r="A50" s="70"/>
      <c r="B50" s="4" t="s">
        <v>12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31"/>
      <c r="S50" s="21"/>
      <c r="T50" s="22"/>
    </row>
    <row r="51" spans="1:23" x14ac:dyDescent="0.25">
      <c r="A51" s="66"/>
      <c r="B51" s="4" t="s">
        <v>45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31"/>
      <c r="S51" s="21"/>
      <c r="T51" s="22"/>
    </row>
    <row r="52" spans="1:23" x14ac:dyDescent="0.25">
      <c r="A52" s="65">
        <v>16</v>
      </c>
      <c r="B52" s="4" t="s">
        <v>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31"/>
      <c r="R52" s="31"/>
      <c r="S52" s="31"/>
      <c r="T52" s="22"/>
    </row>
    <row r="53" spans="1:23" x14ac:dyDescent="0.25">
      <c r="A53" s="70"/>
      <c r="B53" s="4" t="s">
        <v>12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31"/>
      <c r="R53" s="31"/>
      <c r="S53" s="31"/>
      <c r="T53" s="22"/>
    </row>
    <row r="54" spans="1:23" x14ac:dyDescent="0.25">
      <c r="A54" s="66"/>
      <c r="B54" s="4" t="s">
        <v>45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31"/>
      <c r="S54" s="21"/>
      <c r="T54" s="22"/>
    </row>
    <row r="55" spans="1:23" x14ac:dyDescent="0.25">
      <c r="A55" s="63">
        <v>17</v>
      </c>
      <c r="B55" s="4" t="s">
        <v>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31"/>
      <c r="S55" s="21"/>
      <c r="T55" s="22"/>
    </row>
    <row r="56" spans="1:23" x14ac:dyDescent="0.25">
      <c r="A56" s="73"/>
      <c r="B56" s="4" t="s">
        <v>12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31"/>
      <c r="S56" s="21"/>
      <c r="T56" s="22"/>
    </row>
    <row r="57" spans="1:23" x14ac:dyDescent="0.25">
      <c r="A57" s="64"/>
      <c r="B57" s="4" t="s">
        <v>45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31"/>
      <c r="S57" s="21"/>
      <c r="T57" s="22"/>
    </row>
    <row r="58" spans="1:23" x14ac:dyDescent="0.25">
      <c r="A58" s="63">
        <v>18</v>
      </c>
      <c r="B58" s="4" t="s">
        <v>6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31"/>
      <c r="S58" s="21"/>
      <c r="T58" s="22"/>
    </row>
    <row r="59" spans="1:23" x14ac:dyDescent="0.25">
      <c r="A59" s="73"/>
      <c r="B59" s="4" t="s">
        <v>12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31"/>
      <c r="S59" s="21"/>
      <c r="T59" s="22"/>
    </row>
    <row r="60" spans="1:23" x14ac:dyDescent="0.25">
      <c r="A60" s="64"/>
      <c r="B60" s="4" t="s">
        <v>45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31"/>
      <c r="S60" s="21"/>
      <c r="T60" s="22"/>
    </row>
    <row r="61" spans="1:23" x14ac:dyDescent="0.25">
      <c r="A61" s="65">
        <v>19</v>
      </c>
      <c r="B61" s="4" t="s">
        <v>6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31"/>
      <c r="S61" s="31"/>
      <c r="T61" s="22"/>
    </row>
    <row r="62" spans="1:23" x14ac:dyDescent="0.25">
      <c r="A62" s="70"/>
      <c r="B62" s="4" t="s">
        <v>12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31"/>
      <c r="S62" s="31"/>
      <c r="T62" s="22"/>
    </row>
    <row r="63" spans="1:23" x14ac:dyDescent="0.25">
      <c r="A63" s="66"/>
      <c r="B63" s="4" t="s">
        <v>45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31"/>
      <c r="R63" s="31"/>
      <c r="S63" s="31"/>
      <c r="T63" s="22"/>
      <c r="U63"/>
      <c r="V63"/>
      <c r="W63"/>
    </row>
    <row r="64" spans="1:23" x14ac:dyDescent="0.25">
      <c r="A64" s="65">
        <v>20</v>
      </c>
      <c r="B64" s="4" t="s">
        <v>6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31"/>
      <c r="S64" s="21"/>
      <c r="T64" s="22"/>
      <c r="U64"/>
      <c r="V64"/>
      <c r="W64"/>
    </row>
    <row r="65" spans="1:23" x14ac:dyDescent="0.25">
      <c r="A65" s="70"/>
      <c r="B65" s="4" t="s">
        <v>12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31"/>
      <c r="S65" s="21"/>
      <c r="T65" s="22"/>
      <c r="U65"/>
      <c r="V65"/>
      <c r="W65"/>
    </row>
    <row r="66" spans="1:23" x14ac:dyDescent="0.25">
      <c r="A66" s="66"/>
      <c r="B66" s="4" t="s">
        <v>45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31"/>
      <c r="S66" s="21"/>
      <c r="T66" s="22"/>
      <c r="U66"/>
      <c r="V66"/>
      <c r="W66"/>
    </row>
    <row r="67" spans="1:23" x14ac:dyDescent="0.25">
      <c r="A67" s="65">
        <v>21</v>
      </c>
      <c r="B67" s="4" t="s">
        <v>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31"/>
      <c r="S67" s="21"/>
      <c r="T67" s="22"/>
      <c r="U67"/>
      <c r="V67"/>
      <c r="W67"/>
    </row>
    <row r="68" spans="1:23" x14ac:dyDescent="0.25">
      <c r="A68" s="70"/>
      <c r="B68" s="4" t="s">
        <v>12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31"/>
      <c r="S68" s="21"/>
      <c r="T68" s="22"/>
      <c r="U68"/>
      <c r="V68"/>
      <c r="W68"/>
    </row>
    <row r="69" spans="1:23" x14ac:dyDescent="0.25">
      <c r="A69" s="66"/>
      <c r="B69" s="4" t="s">
        <v>45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31"/>
      <c r="S69" s="21"/>
      <c r="T69" s="22"/>
      <c r="U69"/>
      <c r="V69"/>
      <c r="W69"/>
    </row>
    <row r="70" spans="1:23" x14ac:dyDescent="0.25">
      <c r="A70" s="65">
        <v>22</v>
      </c>
      <c r="B70" s="4" t="s">
        <v>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31"/>
      <c r="S70" s="21"/>
      <c r="T70" s="22"/>
      <c r="U70"/>
      <c r="V70"/>
      <c r="W70"/>
    </row>
    <row r="71" spans="1:23" x14ac:dyDescent="0.25">
      <c r="A71" s="70"/>
      <c r="B71" s="4" t="s">
        <v>12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31"/>
      <c r="S71" s="21"/>
      <c r="T71" s="22"/>
      <c r="U71"/>
      <c r="V71"/>
      <c r="W71"/>
    </row>
    <row r="72" spans="1:23" x14ac:dyDescent="0.25">
      <c r="A72" s="66"/>
      <c r="B72" s="4" t="s">
        <v>45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31"/>
      <c r="S72" s="21"/>
      <c r="T72" s="22"/>
      <c r="U72"/>
      <c r="V72"/>
      <c r="W72"/>
    </row>
    <row r="73" spans="1:23" x14ac:dyDescent="0.25">
      <c r="A73" s="65">
        <v>23</v>
      </c>
      <c r="B73" s="4" t="s">
        <v>6</v>
      </c>
      <c r="C73" s="21"/>
      <c r="D73" s="21"/>
      <c r="E73" s="21"/>
      <c r="F73" s="21"/>
      <c r="G73" s="21"/>
      <c r="H73" s="21"/>
      <c r="I73" s="21"/>
      <c r="J73" s="21"/>
      <c r="K73" s="21"/>
      <c r="L73" s="23"/>
      <c r="M73" s="23"/>
      <c r="N73" s="23"/>
      <c r="O73" s="21"/>
      <c r="P73" s="21"/>
      <c r="Q73" s="32"/>
      <c r="R73" s="31"/>
      <c r="S73" s="32"/>
      <c r="T73" s="22"/>
      <c r="U73"/>
      <c r="V73"/>
      <c r="W73"/>
    </row>
    <row r="74" spans="1:23" x14ac:dyDescent="0.25">
      <c r="A74" s="70"/>
      <c r="B74" s="4" t="s">
        <v>12</v>
      </c>
      <c r="C74" s="21"/>
      <c r="D74" s="21"/>
      <c r="E74" s="21"/>
      <c r="F74" s="21"/>
      <c r="G74" s="21"/>
      <c r="H74" s="21"/>
      <c r="I74" s="21"/>
      <c r="J74" s="21"/>
      <c r="K74" s="21"/>
      <c r="L74" s="23"/>
      <c r="M74" s="23"/>
      <c r="N74" s="23"/>
      <c r="O74" s="21"/>
      <c r="P74" s="21"/>
      <c r="Q74" s="32"/>
      <c r="R74" s="31"/>
      <c r="S74" s="32"/>
      <c r="T74" s="22"/>
      <c r="U74"/>
      <c r="V74"/>
      <c r="W74"/>
    </row>
    <row r="75" spans="1:23" x14ac:dyDescent="0.25">
      <c r="A75" s="66"/>
      <c r="B75" s="4" t="s">
        <v>45</v>
      </c>
      <c r="C75" s="21"/>
      <c r="D75" s="21"/>
      <c r="E75" s="21"/>
      <c r="F75" s="21"/>
      <c r="G75" s="21"/>
      <c r="H75" s="21"/>
      <c r="I75" s="21"/>
      <c r="J75" s="21"/>
      <c r="K75" s="21"/>
      <c r="L75" s="23"/>
      <c r="M75" s="23"/>
      <c r="N75" s="23"/>
      <c r="O75" s="21"/>
      <c r="P75" s="21"/>
      <c r="Q75" s="32"/>
      <c r="R75" s="31"/>
      <c r="S75" s="32"/>
      <c r="T75" s="22"/>
      <c r="U75"/>
      <c r="V75"/>
      <c r="W75"/>
    </row>
    <row r="76" spans="1:23" x14ac:dyDescent="0.25">
      <c r="A76" s="63">
        <v>24</v>
      </c>
      <c r="B76" s="4" t="s">
        <v>6</v>
      </c>
      <c r="C76" s="21"/>
      <c r="D76" s="21"/>
      <c r="E76" s="21"/>
      <c r="F76" s="21"/>
      <c r="G76" s="21"/>
      <c r="H76" s="21"/>
      <c r="I76" s="21"/>
      <c r="J76" s="21"/>
      <c r="K76" s="21"/>
      <c r="L76" s="23"/>
      <c r="M76" s="23"/>
      <c r="N76" s="23"/>
      <c r="O76" s="21"/>
      <c r="P76" s="21"/>
      <c r="Q76" s="32"/>
      <c r="R76" s="31"/>
      <c r="S76" s="32"/>
      <c r="T76" s="22"/>
    </row>
    <row r="77" spans="1:23" x14ac:dyDescent="0.25">
      <c r="A77" s="73"/>
      <c r="B77" s="4" t="s">
        <v>12</v>
      </c>
      <c r="C77" s="21"/>
      <c r="D77" s="21"/>
      <c r="E77" s="21"/>
      <c r="F77" s="21"/>
      <c r="G77" s="21"/>
      <c r="H77" s="21"/>
      <c r="I77" s="21"/>
      <c r="J77" s="21"/>
      <c r="K77" s="21"/>
      <c r="L77" s="23"/>
      <c r="M77" s="23"/>
      <c r="N77" s="23"/>
      <c r="O77" s="21"/>
      <c r="P77" s="21"/>
      <c r="Q77" s="32"/>
      <c r="R77" s="31"/>
      <c r="S77" s="32"/>
      <c r="T77" s="22"/>
    </row>
    <row r="78" spans="1:23" x14ac:dyDescent="0.25">
      <c r="A78" s="64"/>
      <c r="B78" s="4" t="s">
        <v>45</v>
      </c>
      <c r="C78" s="21"/>
      <c r="D78" s="21"/>
      <c r="E78" s="21"/>
      <c r="F78" s="21"/>
      <c r="G78" s="21"/>
      <c r="H78" s="21"/>
      <c r="I78" s="21"/>
      <c r="J78" s="21"/>
      <c r="K78" s="21"/>
      <c r="L78" s="23"/>
      <c r="M78" s="23"/>
      <c r="N78" s="23"/>
      <c r="O78" s="21"/>
      <c r="P78" s="21"/>
      <c r="Q78" s="32"/>
      <c r="R78" s="31"/>
      <c r="S78" s="32"/>
      <c r="T78" s="22"/>
    </row>
    <row r="79" spans="1:23" x14ac:dyDescent="0.25">
      <c r="A79" s="63">
        <v>25</v>
      </c>
      <c r="B79" s="4" t="s">
        <v>6</v>
      </c>
      <c r="C79" s="21"/>
      <c r="D79" s="21"/>
      <c r="E79" s="21"/>
      <c r="F79" s="21"/>
      <c r="G79" s="21"/>
      <c r="H79" s="21"/>
      <c r="I79" s="21"/>
      <c r="J79" s="21"/>
      <c r="K79" s="21"/>
      <c r="L79" s="23"/>
      <c r="M79" s="23"/>
      <c r="N79" s="23"/>
      <c r="O79" s="21"/>
      <c r="P79" s="21"/>
      <c r="Q79" s="32"/>
      <c r="R79" s="31"/>
      <c r="S79" s="32"/>
      <c r="T79" s="22"/>
    </row>
    <row r="80" spans="1:23" x14ac:dyDescent="0.25">
      <c r="A80" s="73"/>
      <c r="B80" s="4" t="s">
        <v>12</v>
      </c>
      <c r="C80" s="21"/>
      <c r="D80" s="21"/>
      <c r="E80" s="21"/>
      <c r="F80" s="21"/>
      <c r="G80" s="21"/>
      <c r="H80" s="21"/>
      <c r="I80" s="21"/>
      <c r="J80" s="21"/>
      <c r="K80" s="21"/>
      <c r="L80" s="23"/>
      <c r="M80" s="23"/>
      <c r="N80" s="23"/>
      <c r="O80" s="21"/>
      <c r="P80" s="21"/>
      <c r="Q80" s="32"/>
      <c r="R80" s="31"/>
      <c r="S80" s="32"/>
      <c r="T80" s="22"/>
    </row>
    <row r="81" spans="1:20" x14ac:dyDescent="0.25">
      <c r="A81" s="64"/>
      <c r="B81" s="4" t="s">
        <v>45</v>
      </c>
      <c r="C81" s="21"/>
      <c r="D81" s="21"/>
      <c r="E81" s="21"/>
      <c r="F81" s="21"/>
      <c r="G81" s="21"/>
      <c r="H81" s="21"/>
      <c r="I81" s="21"/>
      <c r="J81" s="21"/>
      <c r="K81" s="21"/>
      <c r="L81" s="23"/>
      <c r="M81" s="23"/>
      <c r="N81" s="23"/>
      <c r="O81" s="21"/>
      <c r="P81" s="21"/>
      <c r="Q81" s="32"/>
      <c r="R81" s="31"/>
      <c r="S81" s="32"/>
      <c r="T81" s="22"/>
    </row>
    <row r="82" spans="1:20" x14ac:dyDescent="0.25">
      <c r="A82" s="63">
        <v>26</v>
      </c>
      <c r="B82" s="4" t="s">
        <v>6</v>
      </c>
      <c r="C82" s="21"/>
      <c r="D82" s="21"/>
      <c r="E82" s="21"/>
      <c r="F82" s="21"/>
      <c r="G82" s="21"/>
      <c r="H82" s="21"/>
      <c r="I82" s="21"/>
      <c r="J82" s="21"/>
      <c r="K82" s="21"/>
      <c r="L82" s="23"/>
      <c r="M82" s="23"/>
      <c r="N82" s="23"/>
      <c r="O82" s="21"/>
      <c r="P82" s="21"/>
      <c r="Q82" s="32"/>
      <c r="R82" s="31"/>
      <c r="S82" s="32"/>
      <c r="T82" s="22"/>
    </row>
    <row r="83" spans="1:20" x14ac:dyDescent="0.25">
      <c r="A83" s="73"/>
      <c r="B83" s="4" t="s">
        <v>12</v>
      </c>
      <c r="C83" s="21"/>
      <c r="D83" s="21"/>
      <c r="E83" s="21"/>
      <c r="F83" s="21"/>
      <c r="G83" s="21"/>
      <c r="H83" s="21"/>
      <c r="I83" s="21"/>
      <c r="J83" s="21"/>
      <c r="K83" s="21"/>
      <c r="L83" s="23"/>
      <c r="M83" s="23"/>
      <c r="N83" s="23"/>
      <c r="O83" s="21"/>
      <c r="P83" s="21"/>
      <c r="Q83" s="32"/>
      <c r="R83" s="31"/>
      <c r="S83" s="32"/>
      <c r="T83" s="22"/>
    </row>
    <row r="84" spans="1:20" x14ac:dyDescent="0.25">
      <c r="A84" s="64"/>
      <c r="B84" s="4" t="s">
        <v>45</v>
      </c>
      <c r="C84" s="21"/>
      <c r="D84" s="21"/>
      <c r="E84" s="21"/>
      <c r="F84" s="21"/>
      <c r="G84" s="21"/>
      <c r="H84" s="21"/>
      <c r="I84" s="21"/>
      <c r="J84" s="21"/>
      <c r="K84" s="21"/>
      <c r="L84" s="23"/>
      <c r="M84" s="23"/>
      <c r="N84" s="23"/>
      <c r="O84" s="21"/>
      <c r="P84" s="21"/>
      <c r="Q84" s="32"/>
      <c r="R84" s="31"/>
      <c r="S84" s="32"/>
      <c r="T84" s="22"/>
    </row>
    <row r="85" spans="1:20" x14ac:dyDescent="0.25">
      <c r="A85" s="63">
        <v>27</v>
      </c>
      <c r="B85" s="4" t="s">
        <v>6</v>
      </c>
      <c r="C85" s="21"/>
      <c r="D85" s="21"/>
      <c r="E85" s="21"/>
      <c r="F85" s="21"/>
      <c r="G85" s="21"/>
      <c r="H85" s="21"/>
      <c r="I85" s="21"/>
      <c r="J85" s="21"/>
      <c r="K85" s="21"/>
      <c r="L85" s="23"/>
      <c r="M85" s="23"/>
      <c r="N85" s="23"/>
      <c r="O85" s="21"/>
      <c r="P85" s="21"/>
      <c r="Q85" s="32"/>
      <c r="R85" s="31"/>
      <c r="S85" s="32"/>
      <c r="T85" s="22"/>
    </row>
    <row r="86" spans="1:20" x14ac:dyDescent="0.25">
      <c r="A86" s="73"/>
      <c r="B86" s="4" t="s">
        <v>12</v>
      </c>
      <c r="C86" s="21"/>
      <c r="D86" s="21"/>
      <c r="E86" s="21"/>
      <c r="F86" s="21"/>
      <c r="G86" s="21"/>
      <c r="H86" s="21"/>
      <c r="I86" s="21"/>
      <c r="J86" s="21"/>
      <c r="K86" s="21"/>
      <c r="L86" s="23"/>
      <c r="M86" s="23"/>
      <c r="N86" s="23"/>
      <c r="O86" s="21"/>
      <c r="P86" s="21"/>
      <c r="Q86" s="32"/>
      <c r="R86" s="31"/>
      <c r="S86" s="32"/>
      <c r="T86" s="22"/>
    </row>
    <row r="87" spans="1:20" x14ac:dyDescent="0.25">
      <c r="A87" s="64"/>
      <c r="B87" s="4" t="s">
        <v>45</v>
      </c>
      <c r="C87" s="21"/>
      <c r="D87" s="21"/>
      <c r="E87" s="21"/>
      <c r="F87" s="21"/>
      <c r="G87" s="21"/>
      <c r="H87" s="21"/>
      <c r="I87" s="21"/>
      <c r="J87" s="21"/>
      <c r="K87" s="21"/>
      <c r="L87" s="23"/>
      <c r="M87" s="23"/>
      <c r="N87" s="23"/>
      <c r="O87" s="21"/>
      <c r="P87" s="21"/>
      <c r="Q87" s="32"/>
      <c r="R87" s="31"/>
      <c r="S87" s="32"/>
      <c r="T87" s="22"/>
    </row>
    <row r="88" spans="1:20" x14ac:dyDescent="0.25">
      <c r="A88" s="63">
        <v>28</v>
      </c>
      <c r="B88" s="4" t="s">
        <v>6</v>
      </c>
      <c r="C88" s="21"/>
      <c r="D88" s="21"/>
      <c r="E88" s="21"/>
      <c r="F88" s="21"/>
      <c r="G88" s="21"/>
      <c r="H88" s="21"/>
      <c r="I88" s="21"/>
      <c r="J88" s="21"/>
      <c r="K88" s="21"/>
      <c r="L88" s="23"/>
      <c r="M88" s="23"/>
      <c r="N88" s="23"/>
      <c r="O88" s="21"/>
      <c r="P88" s="21"/>
      <c r="Q88" s="32"/>
      <c r="R88" s="31"/>
      <c r="S88" s="32"/>
      <c r="T88" s="22"/>
    </row>
    <row r="89" spans="1:20" x14ac:dyDescent="0.25">
      <c r="A89" s="73"/>
      <c r="B89" s="4" t="s">
        <v>12</v>
      </c>
      <c r="C89" s="21"/>
      <c r="D89" s="21"/>
      <c r="E89" s="21"/>
      <c r="F89" s="21"/>
      <c r="G89" s="21"/>
      <c r="H89" s="21"/>
      <c r="I89" s="21"/>
      <c r="J89" s="21"/>
      <c r="K89" s="21"/>
      <c r="L89" s="23"/>
      <c r="M89" s="23"/>
      <c r="N89" s="23"/>
      <c r="O89" s="21"/>
      <c r="P89" s="21"/>
      <c r="Q89" s="32"/>
      <c r="R89" s="31"/>
      <c r="S89" s="32"/>
      <c r="T89" s="22"/>
    </row>
    <row r="90" spans="1:20" x14ac:dyDescent="0.25">
      <c r="A90" s="64"/>
      <c r="B90" s="4" t="s">
        <v>45</v>
      </c>
      <c r="C90" s="21"/>
      <c r="D90" s="21"/>
      <c r="E90" s="21"/>
      <c r="F90" s="21"/>
      <c r="G90" s="21"/>
      <c r="H90" s="21"/>
      <c r="I90" s="21"/>
      <c r="J90" s="21"/>
      <c r="K90" s="21"/>
      <c r="L90" s="23"/>
      <c r="M90" s="23"/>
      <c r="N90" s="23"/>
      <c r="O90" s="21"/>
      <c r="P90" s="21"/>
      <c r="Q90" s="32"/>
      <c r="R90" s="31"/>
      <c r="S90" s="32"/>
      <c r="T90" s="22"/>
    </row>
    <row r="91" spans="1:20" x14ac:dyDescent="0.25">
      <c r="A91" s="65">
        <v>29</v>
      </c>
      <c r="B91" s="4" t="s">
        <v>6</v>
      </c>
      <c r="C91" s="21"/>
      <c r="D91" s="21"/>
      <c r="E91" s="21"/>
      <c r="F91" s="21"/>
      <c r="G91" s="21"/>
      <c r="H91" s="21"/>
      <c r="I91" s="21"/>
      <c r="J91" s="21"/>
      <c r="K91" s="21"/>
      <c r="L91" s="23"/>
      <c r="M91" s="23"/>
      <c r="N91" s="23"/>
      <c r="O91" s="21"/>
      <c r="P91" s="21"/>
      <c r="Q91" s="32"/>
      <c r="R91" s="31"/>
      <c r="S91" s="32"/>
      <c r="T91" s="22"/>
    </row>
    <row r="92" spans="1:20" x14ac:dyDescent="0.25">
      <c r="A92" s="70"/>
      <c r="B92" s="4" t="s">
        <v>12</v>
      </c>
      <c r="C92" s="21"/>
      <c r="D92" s="21"/>
      <c r="E92" s="21"/>
      <c r="F92" s="21"/>
      <c r="G92" s="21"/>
      <c r="H92" s="21"/>
      <c r="I92" s="21"/>
      <c r="J92" s="21"/>
      <c r="K92" s="21"/>
      <c r="L92" s="23"/>
      <c r="M92" s="23"/>
      <c r="N92" s="23"/>
      <c r="O92" s="21"/>
      <c r="P92" s="21"/>
      <c r="Q92" s="32"/>
      <c r="R92" s="31"/>
      <c r="S92" s="32"/>
      <c r="T92" s="22"/>
    </row>
    <row r="93" spans="1:20" x14ac:dyDescent="0.25">
      <c r="A93" s="66"/>
      <c r="B93" s="4" t="s">
        <v>45</v>
      </c>
      <c r="C93" s="21"/>
      <c r="D93" s="21"/>
      <c r="E93" s="21"/>
      <c r="F93" s="21"/>
      <c r="G93" s="21"/>
      <c r="H93" s="21"/>
      <c r="I93" s="21"/>
      <c r="J93" s="21"/>
      <c r="K93" s="21"/>
      <c r="L93" s="23"/>
      <c r="M93" s="23"/>
      <c r="N93" s="23"/>
      <c r="O93" s="21"/>
      <c r="P93" s="21"/>
      <c r="Q93" s="32"/>
      <c r="R93" s="31"/>
      <c r="S93" s="32"/>
      <c r="T93" s="22"/>
    </row>
    <row r="94" spans="1:20" x14ac:dyDescent="0.25">
      <c r="A94" s="65">
        <v>30</v>
      </c>
      <c r="B94" s="4" t="s">
        <v>6</v>
      </c>
      <c r="C94" s="21"/>
      <c r="D94" s="16"/>
      <c r="E94" s="21"/>
      <c r="F94" s="21"/>
      <c r="G94" s="16"/>
      <c r="H94" s="21"/>
      <c r="I94" s="21"/>
      <c r="J94" s="21"/>
      <c r="K94" s="21"/>
      <c r="L94" s="23"/>
      <c r="M94" s="23"/>
      <c r="N94" s="23"/>
      <c r="O94" s="21"/>
      <c r="P94" s="21"/>
      <c r="Q94" s="32"/>
      <c r="R94" s="31"/>
      <c r="S94" s="32"/>
      <c r="T94" s="16"/>
    </row>
    <row r="95" spans="1:20" x14ac:dyDescent="0.25">
      <c r="A95" s="70"/>
      <c r="B95" s="4" t="s">
        <v>12</v>
      </c>
      <c r="C95" s="21"/>
      <c r="D95" s="16"/>
      <c r="E95" s="21"/>
      <c r="F95" s="21"/>
      <c r="G95" s="16"/>
      <c r="H95" s="21"/>
      <c r="I95" s="21"/>
      <c r="J95" s="21"/>
      <c r="K95" s="21"/>
      <c r="L95" s="23"/>
      <c r="M95" s="23"/>
      <c r="N95" s="23"/>
      <c r="O95" s="21"/>
      <c r="P95" s="21"/>
      <c r="Q95" s="32"/>
      <c r="R95" s="31"/>
      <c r="S95" s="32"/>
      <c r="T95" s="16"/>
    </row>
    <row r="96" spans="1:20" x14ac:dyDescent="0.25">
      <c r="A96" s="66"/>
      <c r="B96" s="4" t="s">
        <v>45</v>
      </c>
      <c r="C96" s="21"/>
      <c r="D96" s="16"/>
      <c r="E96" s="21"/>
      <c r="F96" s="21"/>
      <c r="G96" s="16"/>
      <c r="H96" s="21"/>
      <c r="I96" s="21"/>
      <c r="J96" s="21"/>
      <c r="K96" s="21"/>
      <c r="L96" s="23"/>
      <c r="M96" s="23"/>
      <c r="N96" s="23"/>
      <c r="O96" s="21"/>
      <c r="P96" s="21"/>
      <c r="Q96" s="32"/>
      <c r="R96" s="31"/>
      <c r="S96" s="32"/>
      <c r="T96" s="16"/>
    </row>
    <row r="97" spans="1:20" x14ac:dyDescent="0.25">
      <c r="A97" s="65">
        <v>31</v>
      </c>
      <c r="B97" s="4" t="s">
        <v>6</v>
      </c>
      <c r="C97" s="21"/>
      <c r="D97" s="21"/>
      <c r="E97" s="21"/>
      <c r="F97" s="21"/>
      <c r="G97" s="21"/>
      <c r="H97" s="21"/>
      <c r="I97" s="21"/>
      <c r="J97" s="21"/>
      <c r="K97" s="21"/>
      <c r="L97" s="23"/>
      <c r="M97" s="23"/>
      <c r="N97" s="23"/>
      <c r="O97" s="21"/>
      <c r="P97" s="21"/>
      <c r="Q97" s="32"/>
      <c r="R97" s="31"/>
      <c r="S97" s="32"/>
      <c r="T97" s="22"/>
    </row>
    <row r="98" spans="1:20" x14ac:dyDescent="0.25">
      <c r="A98" s="70"/>
      <c r="B98" s="4" t="s">
        <v>12</v>
      </c>
      <c r="C98" s="21"/>
      <c r="D98" s="21"/>
      <c r="E98" s="21"/>
      <c r="F98" s="21"/>
      <c r="G98" s="21"/>
      <c r="H98" s="21"/>
      <c r="I98" s="21"/>
      <c r="J98" s="21"/>
      <c r="K98" s="21"/>
      <c r="L98" s="23"/>
      <c r="M98" s="23"/>
      <c r="N98" s="23"/>
      <c r="O98" s="21"/>
      <c r="P98" s="21"/>
      <c r="Q98" s="32"/>
      <c r="R98" s="31"/>
      <c r="S98" s="32"/>
      <c r="T98" s="22"/>
    </row>
    <row r="99" spans="1:20" x14ac:dyDescent="0.25">
      <c r="A99" s="66"/>
      <c r="B99" s="4" t="s">
        <v>45</v>
      </c>
      <c r="C99" s="21"/>
      <c r="D99" s="21"/>
      <c r="E99" s="21"/>
      <c r="F99" s="21"/>
      <c r="G99" s="21"/>
      <c r="H99" s="21"/>
      <c r="I99" s="21"/>
      <c r="J99" s="21"/>
      <c r="K99" s="21"/>
      <c r="L99" s="23"/>
      <c r="M99" s="23"/>
      <c r="N99" s="23"/>
      <c r="O99" s="21"/>
      <c r="P99" s="21"/>
      <c r="Q99" s="32"/>
      <c r="R99" s="31"/>
      <c r="S99" s="32"/>
      <c r="T99" s="22"/>
    </row>
    <row r="100" spans="1:20" ht="15" customHeight="1" x14ac:dyDescent="0.25">
      <c r="C100" s="57" t="s">
        <v>28</v>
      </c>
      <c r="D100" s="57"/>
      <c r="E100" s="22">
        <f>SUM(E7:E99)</f>
        <v>0</v>
      </c>
      <c r="F100" s="24"/>
      <c r="G100" s="24"/>
      <c r="H100" s="25">
        <f>SUM(H7:H99)</f>
        <v>0</v>
      </c>
      <c r="I100" s="26">
        <f>SUM(I8:I99)</f>
        <v>0</v>
      </c>
      <c r="J100" s="27">
        <f>SUM(J8:J99)</f>
        <v>0</v>
      </c>
      <c r="K100" s="28">
        <f>SUM(K8:K99)</f>
        <v>0</v>
      </c>
      <c r="L100" s="24"/>
      <c r="M100" s="24"/>
      <c r="N100" s="24"/>
      <c r="O100" s="24"/>
      <c r="P100" s="24"/>
      <c r="Q100" s="33"/>
      <c r="R100" s="33"/>
      <c r="S100" s="33"/>
      <c r="T100" s="24"/>
    </row>
    <row r="101" spans="1:20" x14ac:dyDescent="0.25">
      <c r="C101" s="58" t="s">
        <v>29</v>
      </c>
      <c r="D101" s="59"/>
      <c r="E101" s="21" t="e">
        <f>AVERAGE(E8:E99)</f>
        <v>#DIV/0!</v>
      </c>
      <c r="F101" s="24"/>
      <c r="G101" s="29"/>
      <c r="H101" s="21" t="e">
        <f>AVERAGE(H8:H99)</f>
        <v>#DIV/0!</v>
      </c>
      <c r="I101" s="21" t="e">
        <f t="shared" ref="I101:S101" si="0">AVERAGE(I8:I99)</f>
        <v>#DIV/0!</v>
      </c>
      <c r="J101" s="21" t="e">
        <f t="shared" si="0"/>
        <v>#DIV/0!</v>
      </c>
      <c r="K101" s="21" t="e">
        <f t="shared" si="0"/>
        <v>#DIV/0!</v>
      </c>
      <c r="L101" s="21" t="e">
        <f t="shared" si="0"/>
        <v>#DIV/0!</v>
      </c>
      <c r="M101" s="21" t="e">
        <f t="shared" si="0"/>
        <v>#DIV/0!</v>
      </c>
      <c r="N101" s="21" t="e">
        <f t="shared" si="0"/>
        <v>#DIV/0!</v>
      </c>
      <c r="O101" s="21" t="e">
        <f t="shared" si="0"/>
        <v>#DIV/0!</v>
      </c>
      <c r="P101" s="21" t="e">
        <f t="shared" si="0"/>
        <v>#DIV/0!</v>
      </c>
      <c r="Q101" s="31" t="e">
        <f t="shared" si="0"/>
        <v>#DIV/0!</v>
      </c>
      <c r="R101" s="31" t="e">
        <f t="shared" si="0"/>
        <v>#DIV/0!</v>
      </c>
      <c r="S101" s="31" t="e">
        <f t="shared" si="0"/>
        <v>#DIV/0!</v>
      </c>
      <c r="T101" s="24"/>
    </row>
    <row r="102" spans="1:20" ht="30" x14ac:dyDescent="0.25">
      <c r="E102" s="12" t="s">
        <v>0</v>
      </c>
      <c r="H102" s="12" t="s">
        <v>15</v>
      </c>
      <c r="I102" s="13" t="s">
        <v>26</v>
      </c>
      <c r="J102" s="4" t="s">
        <v>9</v>
      </c>
      <c r="K102" s="13" t="s">
        <v>7</v>
      </c>
      <c r="L102" s="14" t="s">
        <v>14</v>
      </c>
      <c r="M102" s="4" t="s">
        <v>15</v>
      </c>
      <c r="N102" s="4" t="s">
        <v>16</v>
      </c>
      <c r="O102" s="14" t="s">
        <v>14</v>
      </c>
      <c r="P102" s="4" t="s">
        <v>15</v>
      </c>
      <c r="Q102" s="14" t="s">
        <v>14</v>
      </c>
      <c r="R102" s="4" t="s">
        <v>15</v>
      </c>
      <c r="S102" s="4" t="s">
        <v>16</v>
      </c>
    </row>
    <row r="103" spans="1:20" x14ac:dyDescent="0.25">
      <c r="I103" s="15"/>
      <c r="J103" s="11"/>
      <c r="K103" s="11"/>
      <c r="L103" s="60" t="s">
        <v>13</v>
      </c>
      <c r="M103" s="61"/>
      <c r="N103" s="62"/>
      <c r="O103" s="60" t="s">
        <v>21</v>
      </c>
      <c r="P103" s="61"/>
      <c r="Q103" s="60" t="s">
        <v>20</v>
      </c>
      <c r="R103" s="61"/>
      <c r="S103" s="62"/>
    </row>
    <row r="104" spans="1:20" x14ac:dyDescent="0.25">
      <c r="I104" s="15"/>
      <c r="J104" s="11"/>
      <c r="K104" s="11"/>
      <c r="L104" s="11"/>
    </row>
    <row r="105" spans="1:20" x14ac:dyDescent="0.25">
      <c r="I105" s="15"/>
      <c r="J105" s="11"/>
      <c r="K105" s="11"/>
      <c r="L105" s="11"/>
    </row>
  </sheetData>
  <mergeCells count="54">
    <mergeCell ref="A97:A99"/>
    <mergeCell ref="C100:D100"/>
    <mergeCell ref="C101:D101"/>
    <mergeCell ref="L103:N103"/>
    <mergeCell ref="O103:P103"/>
    <mergeCell ref="Q103:S103"/>
    <mergeCell ref="A79:A81"/>
    <mergeCell ref="A82:A84"/>
    <mergeCell ref="A85:A87"/>
    <mergeCell ref="A88:A90"/>
    <mergeCell ref="A91:A93"/>
    <mergeCell ref="A94:A96"/>
    <mergeCell ref="A61:A63"/>
    <mergeCell ref="A64:A66"/>
    <mergeCell ref="A67:A69"/>
    <mergeCell ref="A70:A72"/>
    <mergeCell ref="A73:A75"/>
    <mergeCell ref="A76:A78"/>
    <mergeCell ref="A43:A45"/>
    <mergeCell ref="A46:A48"/>
    <mergeCell ref="A49:A51"/>
    <mergeCell ref="A52:A54"/>
    <mergeCell ref="A55:A57"/>
    <mergeCell ref="A58:A60"/>
    <mergeCell ref="A25:A27"/>
    <mergeCell ref="A28:A30"/>
    <mergeCell ref="A31:A33"/>
    <mergeCell ref="A34:A36"/>
    <mergeCell ref="A37:A39"/>
    <mergeCell ref="A40:A42"/>
    <mergeCell ref="A7:A9"/>
    <mergeCell ref="A10:A12"/>
    <mergeCell ref="A13:A15"/>
    <mergeCell ref="A16:A18"/>
    <mergeCell ref="A19:A21"/>
    <mergeCell ref="A22:A24"/>
    <mergeCell ref="Q4:S4"/>
    <mergeCell ref="T4:T6"/>
    <mergeCell ref="C5:E5"/>
    <mergeCell ref="F5:H5"/>
    <mergeCell ref="L5:L6"/>
    <mergeCell ref="O5:O6"/>
    <mergeCell ref="Q5:Q6"/>
    <mergeCell ref="R5:R6"/>
    <mergeCell ref="A1:T3"/>
    <mergeCell ref="A4:A6"/>
    <mergeCell ref="B4:B6"/>
    <mergeCell ref="C4:E4"/>
    <mergeCell ref="F4:H4"/>
    <mergeCell ref="I4:I5"/>
    <mergeCell ref="J4:J5"/>
    <mergeCell ref="K4:K5"/>
    <mergeCell ref="L4:N4"/>
    <mergeCell ref="O4:P4"/>
  </mergeCells>
  <conditionalFormatting sqref="B7:B99">
    <cfRule type="containsText" dxfId="14" priority="4" operator="containsText" text="Boiler No.1">
      <formula>NOT(ISERROR(SEARCH("Boiler No.1",B7)))</formula>
    </cfRule>
    <cfRule type="containsText" dxfId="13" priority="5" operator="containsText" text="Boiler No.2">
      <formula>NOT(ISERROR(SEARCH("Boiler No.2",B7)))</formula>
    </cfRule>
    <cfRule type="containsText" dxfId="12" priority="6" operator="containsText" text="Not Operate">
      <formula>NOT(ISERROR(SEARCH("Not Operate",B7)))</formula>
    </cfRule>
    <cfRule type="containsText" dxfId="11" priority="7" operator="containsText" text="Night B2">
      <formula>NOT(ISERROR(SEARCH("Night B2",B7)))</formula>
    </cfRule>
    <cfRule type="containsText" dxfId="10" priority="8" operator="containsText" text="Night B2">
      <formula>NOT(ISERROR(SEARCH("Night B2",B7)))</formula>
    </cfRule>
    <cfRule type="containsText" dxfId="9" priority="9" operator="containsText" text="Night B1">
      <formula>NOT(ISERROR(SEARCH("Night B1",B7)))</formula>
    </cfRule>
    <cfRule type="containsText" dxfId="8" priority="10" operator="containsText" text="Day B2">
      <formula>NOT(ISERROR(SEARCH("Day B2",B7)))</formula>
    </cfRule>
    <cfRule type="containsText" dxfId="7" priority="11" operator="containsText" text="Day B1">
      <formula>NOT(ISERROR(SEARCH("Day B1",B7)))</formula>
    </cfRule>
    <cfRule type="containsText" dxfId="6" priority="12" operator="containsText" text="Boiler No.1">
      <formula>NOT(ISERROR(SEARCH("Boiler No.1",B7)))</formula>
    </cfRule>
    <cfRule type="containsText" dxfId="5" priority="13" operator="containsText" text="Boiler No.2">
      <formula>NOT(ISERROR(SEARCH("Boiler No.2",B7)))</formula>
    </cfRule>
    <cfRule type="containsText" dxfId="4" priority="14" operator="containsText" text="Not Operate">
      <formula>NOT(ISERROR(SEARCH("Not Operate",B7)))</formula>
    </cfRule>
  </conditionalFormatting>
  <conditionalFormatting sqref="M73:M99">
    <cfRule type="cellIs" dxfId="2" priority="1" operator="greaterThan">
      <formula>9.5</formula>
    </cfRule>
  </conditionalFormatting>
  <conditionalFormatting sqref="N73:N99">
    <cfRule type="cellIs" dxfId="1" priority="3" operator="greaterThan">
      <formula>11.8</formula>
    </cfRule>
  </conditionalFormatting>
  <conditionalFormatting sqref="S73:S99">
    <cfRule type="cellIs" dxfId="0" priority="2" operator="greaterThan">
      <formula>3500</formula>
    </cfRule>
  </conditionalFormatting>
  <dataValidations count="1">
    <dataValidation type="list" allowBlank="1" showInputMessage="1" showErrorMessage="1" sqref="B7:B99" xr:uid="{FD7149FF-BD6F-4D75-8CC3-A38A8457AC5A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" operator="containsText" id="{47B31170-4C8E-42E2-A0F7-A6082B5353A6}">
            <xm:f>NOT(ISERROR(SEARCH(#REF!,B7)))</xm:f>
            <xm:f>#REF!</xm:f>
            <x14:dxf>
              <font>
                <color rgb="FFFF99FF"/>
              </font>
              <fill>
                <patternFill>
                  <bgColor rgb="FFFFCCFF"/>
                </patternFill>
              </fill>
            </x14:dxf>
          </x14:cfRule>
          <xm:sqref>B7:B99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98F3-8F36-4227-803A-E04BC538D2F6}">
  <sheetPr>
    <tabColor rgb="FFFFFF00"/>
  </sheetPr>
  <dimension ref="A1:O129"/>
  <sheetViews>
    <sheetView zoomScaleNormal="100" zoomScaleSheetLayoutView="83" workbookViewId="0">
      <selection activeCell="R16" sqref="R16"/>
    </sheetView>
  </sheetViews>
  <sheetFormatPr defaultColWidth="9.140625" defaultRowHeight="15" x14ac:dyDescent="0.25"/>
  <cols>
    <col min="1" max="1" width="7.42578125" style="1" bestFit="1" customWidth="1"/>
    <col min="2" max="2" width="18.7109375" style="1" bestFit="1" customWidth="1"/>
    <col min="3" max="3" width="26.28515625" style="1" bestFit="1" customWidth="1"/>
    <col min="4" max="4" width="13" style="1" customWidth="1"/>
    <col min="5" max="5" width="12" style="1" customWidth="1"/>
    <col min="6" max="6" width="11" style="1" customWidth="1"/>
    <col min="7" max="9" width="11.140625" style="1" customWidth="1"/>
    <col min="10" max="11" width="14.7109375" style="1" customWidth="1"/>
    <col min="12" max="13" width="11.140625" style="1" customWidth="1"/>
    <col min="14" max="14" width="16" style="1" customWidth="1"/>
    <col min="15" max="15" width="14.28515625" style="1" customWidth="1"/>
    <col min="16" max="16384" width="9.140625" style="1"/>
  </cols>
  <sheetData>
    <row r="1" spans="1:15" x14ac:dyDescent="0.25">
      <c r="A1" s="71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1:15" ht="15" customHeight="1" x14ac:dyDescent="0.25">
      <c r="A4" s="76" t="s">
        <v>42</v>
      </c>
      <c r="B4" s="60" t="s">
        <v>28</v>
      </c>
      <c r="C4" s="61"/>
      <c r="D4" s="61"/>
      <c r="E4" s="61"/>
      <c r="F4" s="62"/>
      <c r="G4" s="60" t="s">
        <v>43</v>
      </c>
      <c r="H4" s="61"/>
      <c r="I4" s="61"/>
      <c r="J4" s="61"/>
      <c r="K4" s="61"/>
      <c r="L4" s="61"/>
      <c r="M4" s="61"/>
      <c r="N4" s="62"/>
      <c r="O4" s="65" t="s">
        <v>24</v>
      </c>
    </row>
    <row r="5" spans="1:15" ht="15" customHeight="1" x14ac:dyDescent="0.25">
      <c r="A5" s="69"/>
      <c r="B5" s="65" t="s">
        <v>4</v>
      </c>
      <c r="C5" s="80" t="s">
        <v>25</v>
      </c>
      <c r="D5" s="80" t="s">
        <v>26</v>
      </c>
      <c r="E5" s="65" t="s">
        <v>9</v>
      </c>
      <c r="F5" s="80" t="s">
        <v>7</v>
      </c>
      <c r="G5" s="60" t="s">
        <v>13</v>
      </c>
      <c r="H5" s="61"/>
      <c r="I5" s="61"/>
      <c r="J5" s="60" t="s">
        <v>21</v>
      </c>
      <c r="K5" s="61"/>
      <c r="L5" s="60" t="s">
        <v>20</v>
      </c>
      <c r="M5" s="61"/>
      <c r="N5" s="62"/>
      <c r="O5" s="70"/>
    </row>
    <row r="6" spans="1:15" x14ac:dyDescent="0.25">
      <c r="A6" s="69"/>
      <c r="B6" s="70"/>
      <c r="C6" s="81"/>
      <c r="D6" s="81"/>
      <c r="E6" s="70"/>
      <c r="F6" s="81"/>
      <c r="G6" s="65" t="s">
        <v>14</v>
      </c>
      <c r="H6" s="5" t="s">
        <v>15</v>
      </c>
      <c r="I6" s="2" t="s">
        <v>16</v>
      </c>
      <c r="J6" s="65" t="s">
        <v>14</v>
      </c>
      <c r="K6" s="5" t="s">
        <v>15</v>
      </c>
      <c r="L6" s="65" t="s">
        <v>14</v>
      </c>
      <c r="M6" s="65" t="s">
        <v>15</v>
      </c>
      <c r="N6" s="9" t="s">
        <v>16</v>
      </c>
      <c r="O6" s="70"/>
    </row>
    <row r="7" spans="1:15" x14ac:dyDescent="0.25">
      <c r="A7" s="79"/>
      <c r="B7" s="10" t="s">
        <v>5</v>
      </c>
      <c r="C7" s="10" t="s">
        <v>5</v>
      </c>
      <c r="D7" s="7" t="s">
        <v>27</v>
      </c>
      <c r="E7" s="6" t="s">
        <v>10</v>
      </c>
      <c r="F7" s="7" t="s">
        <v>8</v>
      </c>
      <c r="G7" s="66"/>
      <c r="H7" s="7" t="s">
        <v>19</v>
      </c>
      <c r="I7" s="3" t="s">
        <v>18</v>
      </c>
      <c r="J7" s="66"/>
      <c r="K7" s="7" t="s">
        <v>22</v>
      </c>
      <c r="L7" s="66"/>
      <c r="M7" s="66"/>
      <c r="N7" s="8" t="s">
        <v>17</v>
      </c>
      <c r="O7" s="66"/>
    </row>
    <row r="8" spans="1:15" x14ac:dyDescent="0.25">
      <c r="A8" s="47" t="s">
        <v>30</v>
      </c>
      <c r="B8" s="49"/>
      <c r="C8" s="50"/>
      <c r="D8" s="51"/>
      <c r="E8" s="51"/>
      <c r="F8" s="51"/>
      <c r="G8" s="52"/>
      <c r="H8" s="52"/>
      <c r="I8" s="52"/>
      <c r="J8" s="52"/>
      <c r="K8" s="52"/>
      <c r="L8" s="52"/>
      <c r="M8" s="52"/>
      <c r="N8" s="52"/>
      <c r="O8" s="4" t="s">
        <v>44</v>
      </c>
    </row>
    <row r="9" spans="1:15" x14ac:dyDescent="0.25">
      <c r="A9" s="47" t="s">
        <v>31</v>
      </c>
      <c r="B9" s="49"/>
      <c r="C9" s="50"/>
      <c r="D9" s="51"/>
      <c r="E9" s="51"/>
      <c r="F9" s="51"/>
      <c r="G9" s="52"/>
      <c r="H9" s="52"/>
      <c r="I9" s="52"/>
      <c r="J9" s="52"/>
      <c r="K9" s="52"/>
      <c r="L9" s="52"/>
      <c r="M9" s="52"/>
      <c r="N9" s="52"/>
      <c r="O9" s="4" t="s">
        <v>44</v>
      </c>
    </row>
    <row r="10" spans="1:15" x14ac:dyDescent="0.25">
      <c r="A10" s="47" t="s">
        <v>32</v>
      </c>
      <c r="B10" s="49"/>
      <c r="C10" s="50"/>
      <c r="D10" s="51"/>
      <c r="E10" s="51"/>
      <c r="F10" s="51"/>
      <c r="G10" s="52"/>
      <c r="H10" s="52"/>
      <c r="I10" s="52"/>
      <c r="J10" s="52"/>
      <c r="K10" s="52"/>
      <c r="L10" s="52"/>
      <c r="M10" s="52"/>
      <c r="N10" s="52"/>
      <c r="O10" s="4" t="s">
        <v>44</v>
      </c>
    </row>
    <row r="11" spans="1:15" x14ac:dyDescent="0.25">
      <c r="A11" s="47" t="s">
        <v>33</v>
      </c>
      <c r="B11" s="19"/>
      <c r="C11" s="53"/>
      <c r="D11" s="42"/>
      <c r="E11" s="35"/>
      <c r="F11" s="35"/>
      <c r="G11" s="20"/>
      <c r="H11" s="20"/>
      <c r="I11" s="20"/>
      <c r="J11" s="20"/>
      <c r="K11" s="20"/>
      <c r="L11" s="20"/>
      <c r="M11" s="20"/>
      <c r="N11" s="20"/>
      <c r="O11" s="4" t="s">
        <v>44</v>
      </c>
    </row>
    <row r="12" spans="1:15" x14ac:dyDescent="0.25">
      <c r="A12" s="47" t="s">
        <v>34</v>
      </c>
      <c r="B12" s="19"/>
      <c r="C12" s="50"/>
      <c r="D12" s="42"/>
      <c r="E12" s="35"/>
      <c r="F12" s="34"/>
      <c r="G12" s="18"/>
      <c r="H12" s="20"/>
      <c r="I12" s="18"/>
      <c r="J12" s="18"/>
      <c r="K12" s="18"/>
      <c r="L12" s="18"/>
      <c r="M12" s="18"/>
      <c r="N12" s="18"/>
      <c r="O12" s="4" t="s">
        <v>44</v>
      </c>
    </row>
    <row r="13" spans="1:15" x14ac:dyDescent="0.25">
      <c r="A13" s="47" t="s">
        <v>35</v>
      </c>
      <c r="B13" s="19"/>
      <c r="C13" s="50"/>
      <c r="D13" s="42"/>
      <c r="E13" s="35"/>
      <c r="F13" s="34"/>
      <c r="G13" s="18"/>
      <c r="H13" s="20"/>
      <c r="I13" s="18"/>
      <c r="J13" s="18"/>
      <c r="K13" s="18"/>
      <c r="L13" s="18"/>
      <c r="M13" s="18"/>
      <c r="N13" s="18"/>
      <c r="O13" s="4" t="s">
        <v>44</v>
      </c>
    </row>
    <row r="14" spans="1:15" x14ac:dyDescent="0.25">
      <c r="A14" s="47" t="s">
        <v>36</v>
      </c>
      <c r="B14" s="49"/>
      <c r="C14" s="50"/>
      <c r="D14" s="54"/>
      <c r="E14" s="51"/>
      <c r="F14" s="51"/>
      <c r="G14" s="18"/>
      <c r="H14" s="18"/>
      <c r="I14" s="18"/>
      <c r="J14" s="18"/>
      <c r="K14" s="18"/>
      <c r="L14" s="18"/>
      <c r="M14" s="18"/>
      <c r="N14" s="18"/>
      <c r="O14" s="4" t="s">
        <v>44</v>
      </c>
    </row>
    <row r="15" spans="1:15" x14ac:dyDescent="0.25">
      <c r="A15" s="47" t="s">
        <v>37</v>
      </c>
      <c r="B15" s="19"/>
      <c r="C15" s="50"/>
      <c r="D15" s="43"/>
      <c r="E15" s="19"/>
      <c r="F15" s="36"/>
      <c r="G15" s="17"/>
      <c r="H15" s="17"/>
      <c r="I15" s="17"/>
      <c r="J15" s="17"/>
      <c r="K15" s="17"/>
      <c r="L15" s="17"/>
      <c r="M15" s="17"/>
      <c r="N15" s="17"/>
      <c r="O15" s="4" t="s">
        <v>44</v>
      </c>
    </row>
    <row r="16" spans="1:15" x14ac:dyDescent="0.25">
      <c r="A16" s="47" t="s">
        <v>38</v>
      </c>
      <c r="B16" s="19"/>
      <c r="C16" s="50"/>
      <c r="D16" s="55"/>
      <c r="E16" s="49"/>
      <c r="F16" s="56"/>
      <c r="G16" s="17"/>
      <c r="H16" s="17"/>
      <c r="I16" s="17"/>
      <c r="J16" s="17"/>
      <c r="K16" s="17"/>
      <c r="L16" s="20"/>
      <c r="M16" s="20"/>
      <c r="N16" s="20"/>
      <c r="O16" s="4" t="s">
        <v>44</v>
      </c>
    </row>
    <row r="17" spans="1:15" x14ac:dyDescent="0.25">
      <c r="A17" s="47" t="s">
        <v>39</v>
      </c>
      <c r="B17" s="19"/>
      <c r="C17" s="45"/>
      <c r="D17" s="17"/>
      <c r="F17" s="18"/>
      <c r="G17" s="17"/>
      <c r="H17" s="17"/>
      <c r="I17" s="17"/>
      <c r="J17" s="17"/>
      <c r="K17" s="17"/>
      <c r="L17" s="20"/>
      <c r="M17" s="17"/>
      <c r="N17" s="17"/>
      <c r="O17" s="4" t="s">
        <v>44</v>
      </c>
    </row>
    <row r="18" spans="1:15" x14ac:dyDescent="0.25">
      <c r="A18" s="47" t="s">
        <v>40</v>
      </c>
      <c r="B18" s="19"/>
      <c r="C18" s="45"/>
      <c r="D18" s="17"/>
      <c r="E18" s="44"/>
      <c r="F18" s="17"/>
      <c r="G18" s="17"/>
      <c r="H18" s="17"/>
      <c r="I18" s="17"/>
      <c r="J18" s="17"/>
      <c r="K18" s="17"/>
      <c r="L18" s="20"/>
      <c r="M18" s="20"/>
      <c r="N18" s="17"/>
      <c r="O18" s="4" t="s">
        <v>44</v>
      </c>
    </row>
    <row r="19" spans="1:15" x14ac:dyDescent="0.25">
      <c r="A19" s="47" t="s">
        <v>41</v>
      </c>
      <c r="B19" s="19"/>
      <c r="C19" s="46"/>
      <c r="D19" s="17"/>
      <c r="E19" s="18"/>
      <c r="F19" s="17"/>
      <c r="G19" s="17"/>
      <c r="H19" s="17"/>
      <c r="I19" s="17"/>
      <c r="J19" s="17"/>
      <c r="K19" s="17"/>
      <c r="L19" s="20"/>
      <c r="M19" s="20"/>
      <c r="N19" s="17"/>
      <c r="O19" s="4" t="s">
        <v>44</v>
      </c>
    </row>
    <row r="20" spans="1:15" x14ac:dyDescent="0.25">
      <c r="D20" s="1" t="s">
        <v>46</v>
      </c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6" spans="1:15" x14ac:dyDescent="0.25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3:14" x14ac:dyDescent="0.25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3:14" x14ac:dyDescent="0.25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3:14" x14ac:dyDescent="0.25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3:14" x14ac:dyDescent="0.25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3:14" x14ac:dyDescent="0.25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3:14" x14ac:dyDescent="0.25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3:14" x14ac:dyDescent="0.25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3:14" x14ac:dyDescent="0.25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3:14" x14ac:dyDescent="0.2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18" spans="5:10" x14ac:dyDescent="0.25">
      <c r="E118"/>
      <c r="F118"/>
      <c r="G118"/>
      <c r="H118"/>
      <c r="I118"/>
      <c r="J118"/>
    </row>
    <row r="119" spans="5:10" x14ac:dyDescent="0.25">
      <c r="E119"/>
      <c r="F119"/>
      <c r="G119"/>
      <c r="H119"/>
      <c r="I119"/>
      <c r="J119"/>
    </row>
    <row r="120" spans="5:10" x14ac:dyDescent="0.25">
      <c r="E120"/>
      <c r="F120"/>
      <c r="G120"/>
      <c r="H120"/>
      <c r="I120"/>
      <c r="J120"/>
    </row>
    <row r="121" spans="5:10" x14ac:dyDescent="0.25">
      <c r="E121"/>
      <c r="F121"/>
      <c r="G121"/>
      <c r="H121"/>
      <c r="I121"/>
      <c r="J121"/>
    </row>
    <row r="122" spans="5:10" x14ac:dyDescent="0.25">
      <c r="E122"/>
      <c r="F122"/>
      <c r="G122"/>
      <c r="H122"/>
      <c r="I122"/>
      <c r="J122"/>
    </row>
    <row r="123" spans="5:10" x14ac:dyDescent="0.25">
      <c r="E123"/>
      <c r="F123"/>
      <c r="G123"/>
      <c r="H123"/>
      <c r="I123"/>
      <c r="J123"/>
    </row>
    <row r="124" spans="5:10" x14ac:dyDescent="0.25">
      <c r="E124"/>
      <c r="F124"/>
      <c r="G124"/>
      <c r="H124"/>
      <c r="I124"/>
      <c r="J124"/>
    </row>
    <row r="125" spans="5:10" x14ac:dyDescent="0.25">
      <c r="E125"/>
      <c r="F125"/>
      <c r="G125"/>
      <c r="H125"/>
      <c r="I125"/>
      <c r="J125"/>
    </row>
    <row r="126" spans="5:10" x14ac:dyDescent="0.25">
      <c r="E126"/>
      <c r="F126"/>
      <c r="G126"/>
      <c r="H126"/>
      <c r="I126"/>
      <c r="J126"/>
    </row>
    <row r="127" spans="5:10" x14ac:dyDescent="0.25">
      <c r="E127"/>
      <c r="F127"/>
      <c r="G127"/>
      <c r="H127"/>
      <c r="I127"/>
      <c r="J127"/>
    </row>
    <row r="128" spans="5:10" x14ac:dyDescent="0.25">
      <c r="E128"/>
      <c r="F128"/>
      <c r="G128"/>
      <c r="H128"/>
      <c r="I128"/>
      <c r="J128"/>
    </row>
    <row r="129" spans="5:10" x14ac:dyDescent="0.25">
      <c r="E129"/>
      <c r="F129"/>
      <c r="G129"/>
      <c r="H129"/>
      <c r="I129"/>
      <c r="J129"/>
    </row>
  </sheetData>
  <mergeCells count="17">
    <mergeCell ref="G6:G7"/>
    <mergeCell ref="J6:J7"/>
    <mergeCell ref="L6:L7"/>
    <mergeCell ref="M6:M7"/>
    <mergeCell ref="A1:O3"/>
    <mergeCell ref="A4:A7"/>
    <mergeCell ref="B4:F4"/>
    <mergeCell ref="G4:N4"/>
    <mergeCell ref="O4:O7"/>
    <mergeCell ref="B5:B6"/>
    <mergeCell ref="C5:C6"/>
    <mergeCell ref="D5:D6"/>
    <mergeCell ref="E5:E6"/>
    <mergeCell ref="F5:F6"/>
    <mergeCell ref="G5:I5"/>
    <mergeCell ref="J5:K5"/>
    <mergeCell ref="L5:N5"/>
  </mergeCells>
  <hyperlinks>
    <hyperlink ref="A8" location="'Jan 20'!A1" display="Jan" xr:uid="{B0BBB503-C1E8-48D4-A5EA-2B39C82522C3}"/>
    <hyperlink ref="A9" location="'Feb 20'!A1" display="Feb" xr:uid="{CB30C161-959A-4E9B-892D-84B87D0528A9}"/>
    <hyperlink ref="A10" location="'Mar 20 '!A1" display="Mar" xr:uid="{B20ACFE6-CAE7-411B-8993-7630E197BEC2}"/>
    <hyperlink ref="A11" location="'Apr 20'!A1" display="Apr" xr:uid="{EB42333B-D5CC-4C7B-92AE-3F555BC4990A}"/>
    <hyperlink ref="A12" location="'May 20 '!A1" display="May" xr:uid="{587A021F-B44B-4379-8C37-823E2BF2C2C5}"/>
    <hyperlink ref="A13" location="'Jun 20'!A1" display="Jun" xr:uid="{E26BBBE4-76E9-472E-A0C9-DCDD59CD999E}"/>
    <hyperlink ref="A14" location="'Jul 20'!A1" display="Jul" xr:uid="{54AA29AE-33E7-4D59-B77E-A8FFDC859D86}"/>
    <hyperlink ref="A15" location="'Aug 20'!A1" display="Aug" xr:uid="{C54AAB22-1C63-44FF-8D2D-4E562443E97A}"/>
    <hyperlink ref="A16" location="'Sep 20'!A1" display="Sep" xr:uid="{B3EF4388-2E71-4B5C-B1FB-FB9A7AA84A76}"/>
    <hyperlink ref="A17" location="'Oct 20'!A1" display="Oct" xr:uid="{E72EB8E7-2470-4E85-8D6D-A82EC5143A17}"/>
    <hyperlink ref="A18" location="'Nov 20'!A1" display="Nov" xr:uid="{87722754-48DB-48C0-BA3E-8855B23A511F}"/>
    <hyperlink ref="A19" location="'Dec 20'!A1" display="Dec" xr:uid="{F1CAD1F3-2EA2-4AB8-83AE-599653CF697E}"/>
  </hyperlink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Jan' 23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Krissada Wannaso</cp:lastModifiedBy>
  <cp:lastPrinted>2022-08-17T01:39:22Z</cp:lastPrinted>
  <dcterms:created xsi:type="dcterms:W3CDTF">2020-01-07T03:54:42Z</dcterms:created>
  <dcterms:modified xsi:type="dcterms:W3CDTF">2026-02-23T07:34:07Z</dcterms:modified>
</cp:coreProperties>
</file>