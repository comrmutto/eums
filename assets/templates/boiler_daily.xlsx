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ums\assets\templates\"/>
    </mc:Choice>
  </mc:AlternateContent>
  <xr:revisionPtr revIDLastSave="0" documentId="13_ncr:1_{939AC785-D2B7-4C9C-86BB-609DC7259A04}" xr6:coauthVersionLast="47" xr6:coauthVersionMax="47" xr10:uidLastSave="{00000000-0000-0000-0000-000000000000}"/>
  <bookViews>
    <workbookView xWindow="-120" yWindow="-120" windowWidth="29040" windowHeight="15720" tabRatio="613" xr2:uid="{5E9F254D-515C-4340-8E2B-AEB470D3BA20}"/>
  </bookViews>
  <sheets>
    <sheet name="Jan' 23    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" i="53" l="1"/>
  <c r="R101" i="53"/>
  <c r="Q101" i="53"/>
  <c r="P101" i="53"/>
  <c r="O101" i="53"/>
  <c r="N101" i="53"/>
  <c r="M101" i="53"/>
  <c r="L101" i="53"/>
  <c r="K101" i="53"/>
  <c r="I101" i="53"/>
  <c r="K100" i="53"/>
  <c r="I100" i="53"/>
  <c r="J100" i="53" l="1"/>
  <c r="E101" i="53"/>
  <c r="E100" i="53"/>
  <c r="H100" i="53"/>
  <c r="H101" i="53"/>
  <c r="J101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5" authorId="0" shapeId="0" xr:uid="{041554ED-5AE4-4528-9F75-23311EA5B8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P5" authorId="0" shapeId="0" xr:uid="{E775617C-4040-4226-ADBD-7504936576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R5" authorId="0" shapeId="0" xr:uid="{C39135A1-083A-476D-8D38-56B82A2859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M102" authorId="0" shapeId="0" xr:uid="{E4BF287D-BC98-4259-8A59-C19CEA17BC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P102" authorId="0" shapeId="0" xr:uid="{F09D1F7B-9A6F-47B2-B5E8-93DCF13C8E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  <comment ref="R102" authorId="0" shapeId="0" xr:uid="{883E4A14-EE0F-4D37-AFC9-CE20C8CA3E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Feed water (Soft+Condensate)  
(5.8-9.5)</t>
        </r>
      </text>
    </comment>
  </commentList>
</comments>
</file>

<file path=xl/sharedStrings.xml><?xml version="1.0" encoding="utf-8"?>
<sst xmlns="http://schemas.openxmlformats.org/spreadsheetml/2006/main" count="146" uniqueCount="33">
  <si>
    <t>LPG</t>
  </si>
  <si>
    <t>Start</t>
  </si>
  <si>
    <t>End</t>
  </si>
  <si>
    <t>Use</t>
  </si>
  <si>
    <t xml:space="preserve">LPG consumption </t>
  </si>
  <si>
    <t>Flow meter (m3)</t>
  </si>
  <si>
    <t>Boiler No.1</t>
  </si>
  <si>
    <t>Blow down</t>
  </si>
  <si>
    <t>min</t>
  </si>
  <si>
    <t>Power</t>
  </si>
  <si>
    <t>kWh</t>
  </si>
  <si>
    <t>Date</t>
  </si>
  <si>
    <t>Boiler No.2</t>
  </si>
  <si>
    <t>pH</t>
  </si>
  <si>
    <t>Soft water</t>
  </si>
  <si>
    <t>Feed water</t>
  </si>
  <si>
    <t>Boiler water</t>
  </si>
  <si>
    <t>(&lt;3500 ppm)</t>
  </si>
  <si>
    <t>(8.5-11.8)</t>
  </si>
  <si>
    <t>(5.8-9.5)</t>
  </si>
  <si>
    <t>Total Dissolved Solid (TDS)</t>
  </si>
  <si>
    <t>Total Hardness  ppm as CaCO3</t>
  </si>
  <si>
    <t>(&lt;10)</t>
  </si>
  <si>
    <t>Operate by</t>
  </si>
  <si>
    <t>Remark</t>
  </si>
  <si>
    <t xml:space="preserve">Feed Water consumption </t>
  </si>
  <si>
    <t>Operate time</t>
  </si>
  <si>
    <t>(hour)</t>
  </si>
  <si>
    <t>Total</t>
  </si>
  <si>
    <t>Avg</t>
  </si>
  <si>
    <t>Boiler No.3</t>
  </si>
  <si>
    <t xml:space="preserve">                                              </t>
  </si>
  <si>
    <t>Daily Record of Boiler Operation (Jan 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</si>
</sst>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FF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9933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 wrapText="1"/>
    </xf>
    <xf numFmtId="164" fontId="6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99FF"/>
      </font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99FFCC"/>
        </patternFill>
      </fill>
    </dxf>
    <dxf>
      <font>
        <color auto="1"/>
      </font>
      <fill>
        <patternFill>
          <bgColor rgb="FFFFCCFF"/>
        </patternFill>
      </fill>
    </dxf>
    <dxf>
      <fill>
        <patternFill>
          <bgColor rgb="FF66CCFF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CCCCFF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9FFCC"/>
        </patternFill>
      </fill>
    </dxf>
    <dxf>
      <font>
        <color auto="1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0000FF"/>
      <color rgb="FF006666"/>
      <color rgb="FFCC6600"/>
      <color rgb="FF0066FF"/>
      <color rgb="FF9933FF"/>
      <color rgb="FFCC99FF"/>
      <color rgb="FFCCCCFF"/>
      <color rgb="FFFFCCFF"/>
      <color rgb="FFCC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FF"/>
                </a:solidFill>
              </a:rPr>
              <a:t>LPG and Feed Water Consumption of Boiler on Feb</a:t>
            </a:r>
            <a:r>
              <a:rPr lang="en-US" baseline="0">
                <a:solidFill>
                  <a:srgbClr val="9933FF"/>
                </a:solidFill>
              </a:rPr>
              <a:t> </a:t>
            </a:r>
            <a:r>
              <a:rPr lang="en-US">
                <a:solidFill>
                  <a:srgbClr val="9933FF"/>
                </a:solidFill>
              </a:rPr>
              <a:t> 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637309653473938E-2"/>
          <c:y val="0.11279265645559285"/>
          <c:w val="0.81436414721287598"/>
          <c:h val="0.655240608354275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'Jan'' 23    '!$C$4:$E$4</c:f>
              <c:strCache>
                <c:ptCount val="1"/>
                <c:pt idx="0">
                  <c:v>LPG consumption 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Lbl>
              <c:idx val="32"/>
              <c:layout>
                <c:manualLayout>
                  <c:x val="-1.8367718570263099E-2"/>
                  <c:y val="-3.04105301848457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80-4702-A2C5-33BDE8001427}"/>
                </c:ext>
              </c:extLst>
            </c:dLbl>
            <c:dLbl>
              <c:idx val="34"/>
              <c:layout>
                <c:manualLayout>
                  <c:x val="0"/>
                  <c:y val="-4.8656848295753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80-4702-A2C5-33BDE8001427}"/>
                </c:ext>
              </c:extLst>
            </c:dLbl>
            <c:dLbl>
              <c:idx val="35"/>
              <c:layout>
                <c:manualLayout>
                  <c:x val="1.6697925972966145E-3"/>
                  <c:y val="-5.1697901314237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A1-425F-B104-002628D6B7BD}"/>
                </c:ext>
              </c:extLst>
            </c:dLbl>
            <c:dLbl>
              <c:idx val="37"/>
              <c:layout>
                <c:manualLayout>
                  <c:x val="1.6697925972966453E-3"/>
                  <c:y val="-3.6492636221814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A1-425F-B104-002628D6B7BD}"/>
                </c:ext>
              </c:extLst>
            </c:dLbl>
            <c:dLbl>
              <c:idx val="38"/>
              <c:layout>
                <c:manualLayout>
                  <c:x val="5.00937779188990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A1-425F-B104-002628D6B7BD}"/>
                </c:ext>
              </c:extLst>
            </c:dLbl>
            <c:dLbl>
              <c:idx val="40"/>
              <c:layout>
                <c:manualLayout>
                  <c:x val="5.009377791889905E-3"/>
                  <c:y val="-2.1287371129392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A1-425F-B104-002628D6B7BD}"/>
                </c:ext>
              </c:extLst>
            </c:dLbl>
            <c:dLbl>
              <c:idx val="41"/>
              <c:layout>
                <c:manualLayout>
                  <c:x val="8.8105726872245403E-3"/>
                  <c:y val="-1.5205265092422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A1-425F-B104-002628D6B7BD}"/>
                </c:ext>
              </c:extLst>
            </c:dLbl>
            <c:dLbl>
              <c:idx val="43"/>
              <c:layout>
                <c:manualLayout>
                  <c:x val="-1.0018755583779933E-2"/>
                  <c:y val="-9.123159055453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A1-425F-B104-002628D6B7BD}"/>
                </c:ext>
              </c:extLst>
            </c:dLbl>
            <c:dLbl>
              <c:idx val="44"/>
              <c:layout>
                <c:manualLayout>
                  <c:x val="-6.1225021290873171E-17"/>
                  <c:y val="1.2164212073938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3A1-425F-B104-002628D6B7BD}"/>
                </c:ext>
              </c:extLst>
            </c:dLbl>
            <c:dLbl>
              <c:idx val="49"/>
              <c:layout>
                <c:manualLayout>
                  <c:x val="1.6697925972966453E-3"/>
                  <c:y val="3.04105301848457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A1-425F-B104-002628D6B7BD}"/>
                </c:ext>
              </c:extLst>
            </c:dLbl>
            <c:dLbl>
              <c:idx val="50"/>
              <c:layout>
                <c:manualLayout>
                  <c:x val="1.762114537444934E-3"/>
                  <c:y val="-2.12873711293920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3A1-425F-B104-002628D6B7BD}"/>
                </c:ext>
              </c:extLst>
            </c:dLbl>
            <c:dLbl>
              <c:idx val="52"/>
              <c:layout>
                <c:manualLayout>
                  <c:x val="-8.3489629864832264E-3"/>
                  <c:y val="-6.08210603696914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3A1-425F-B104-002628D6B7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'Jan'' 23    '!$A$7:$A$96</c:f>
              <c:numCache>
                <c:formatCode>General</c:formatCode>
                <c:ptCount val="90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4">
                  <c:v>19</c:v>
                </c:pt>
                <c:pt idx="57">
                  <c:v>20</c:v>
                </c:pt>
                <c:pt idx="60">
                  <c:v>21</c:v>
                </c:pt>
                <c:pt idx="63">
                  <c:v>22</c:v>
                </c:pt>
                <c:pt idx="66">
                  <c:v>23</c:v>
                </c:pt>
                <c:pt idx="69">
                  <c:v>24</c:v>
                </c:pt>
                <c:pt idx="72">
                  <c:v>25</c:v>
                </c:pt>
                <c:pt idx="75">
                  <c:v>26</c:v>
                </c:pt>
                <c:pt idx="78">
                  <c:v>27</c:v>
                </c:pt>
                <c:pt idx="81">
                  <c:v>28</c:v>
                </c:pt>
                <c:pt idx="84">
                  <c:v>29</c:v>
                </c:pt>
                <c:pt idx="87">
                  <c:v>30</c:v>
                </c:pt>
              </c:numCache>
            </c:numRef>
          </c:cat>
          <c:val>
            <c:numRef>
              <c:f>'Jan'' 23    '!$E$8:$E$99</c:f>
              <c:numCache>
                <c:formatCode>#,##0.0</c:formatCode>
                <c:ptCount val="92"/>
              </c:numCache>
            </c:numRef>
          </c:val>
          <c:extLst>
            <c:ext xmlns:c16="http://schemas.microsoft.com/office/drawing/2014/chart" uri="{C3380CC4-5D6E-409C-BE32-E72D297353CC}">
              <c16:uniqueId val="{0000000C-3D80-4702-A2C5-33BDE800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3342784"/>
        <c:axId val="463346392"/>
      </c:barChart>
      <c:lineChart>
        <c:grouping val="standard"/>
        <c:varyColors val="0"/>
        <c:ser>
          <c:idx val="1"/>
          <c:order val="1"/>
          <c:tx>
            <c:strRef>
              <c:f>'Jan'' 23    '!$F$4:$H$4</c:f>
              <c:strCache>
                <c:ptCount val="1"/>
                <c:pt idx="0">
                  <c:v>Feed Water consumption 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dLbls>
            <c:dLbl>
              <c:idx val="32"/>
              <c:layout>
                <c:manualLayout>
                  <c:x val="-3.3395851945932906E-2"/>
                  <c:y val="0.182463181109074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D80-4702-A2C5-33BDE8001427}"/>
                </c:ext>
              </c:extLst>
            </c:dLbl>
            <c:dLbl>
              <c:idx val="34"/>
              <c:layout>
                <c:manualLayout>
                  <c:x val="-2.8386474154042968E-2"/>
                  <c:y val="0.261530559589673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D80-4702-A2C5-33BDE8001427}"/>
                </c:ext>
              </c:extLst>
            </c:dLbl>
            <c:dLbl>
              <c:idx val="35"/>
              <c:layout>
                <c:manualLayout>
                  <c:x val="-2.6716681556746353E-2"/>
                  <c:y val="0.188545287146043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3A1-425F-B104-002628D6B7BD}"/>
                </c:ext>
              </c:extLst>
            </c:dLbl>
            <c:dLbl>
              <c:idx val="37"/>
              <c:layout>
                <c:manualLayout>
                  <c:x val="-2.5046888959449679E-2"/>
                  <c:y val="0.179422128090589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A1-425F-B104-002628D6B7BD}"/>
                </c:ext>
              </c:extLst>
            </c:dLbl>
            <c:dLbl>
              <c:idx val="38"/>
              <c:layout>
                <c:manualLayout>
                  <c:x val="-2.6716681556746353E-2"/>
                  <c:y val="0.152052650924228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3A1-425F-B104-002628D6B7BD}"/>
                </c:ext>
              </c:extLst>
            </c:dLbl>
            <c:dLbl>
              <c:idx val="40"/>
              <c:layout>
                <c:manualLayout>
                  <c:x val="-3.5872998321400687E-2"/>
                  <c:y val="9.123159055453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3A1-425F-B104-002628D6B7BD}"/>
                </c:ext>
              </c:extLst>
            </c:dLbl>
            <c:dLbl>
              <c:idx val="43"/>
              <c:layout>
                <c:manualLayout>
                  <c:x val="-3.3395851945932968E-2"/>
                  <c:y val="0.124683173757867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3A1-425F-B104-002628D6B7BD}"/>
                </c:ext>
              </c:extLst>
            </c:dLbl>
            <c:dLbl>
              <c:idx val="44"/>
              <c:layout>
                <c:manualLayout>
                  <c:x val="-3.172605934863626E-2"/>
                  <c:y val="0.21895581733088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3A1-425F-B104-002628D6B7BD}"/>
                </c:ext>
              </c:extLst>
            </c:dLbl>
            <c:dLbl>
              <c:idx val="46"/>
              <c:layout>
                <c:manualLayout>
                  <c:x val="-2.8386474154043093E-2"/>
                  <c:y val="0.185504234127559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3A1-425F-B104-002628D6B7BD}"/>
                </c:ext>
              </c:extLst>
            </c:dLbl>
            <c:dLbl>
              <c:idx val="47"/>
              <c:layout>
                <c:manualLayout>
                  <c:x val="-2.6716681556746447E-2"/>
                  <c:y val="0.167257916016651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D80-4702-A2C5-33BDE8001427}"/>
                </c:ext>
              </c:extLst>
            </c:dLbl>
            <c:dLbl>
              <c:idx val="49"/>
              <c:layout>
                <c:manualLayout>
                  <c:x val="-2.3377096362153155E-2"/>
                  <c:y val="0.161175809979682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3A1-425F-B104-002628D6B7BD}"/>
                </c:ext>
              </c:extLst>
            </c:dLbl>
            <c:dLbl>
              <c:idx val="52"/>
              <c:layout>
                <c:manualLayout>
                  <c:x val="-2.6716681556746325E-2"/>
                  <c:y val="0.20983265827543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3A1-425F-B104-002628D6B7BD}"/>
                </c:ext>
              </c:extLst>
            </c:dLbl>
            <c:dLbl>
              <c:idx val="71"/>
              <c:layout>
                <c:manualLayout>
                  <c:x val="1.5407191446120286E-3"/>
                  <c:y val="-6.3862113388176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3A1-425F-B104-002628D6B7BD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}</c:f>
            </c:multiLvlStrRef>
          </c:cat>
          <c:val>
            <c:numRef>
              <c:f>'Jan'' 23    '!$H$8:$H$99</c:f>
              <c:numCache>
                <c:formatCode>#,##0.0</c:formatCode>
                <c:ptCount val="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80-4702-A2C5-33BDE800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651824"/>
        <c:axId val="422643296"/>
      </c:lineChart>
      <c:catAx>
        <c:axId val="463342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6392"/>
        <c:crosses val="autoZero"/>
        <c:auto val="1"/>
        <c:lblAlgn val="ctr"/>
        <c:lblOffset val="100"/>
        <c:noMultiLvlLbl val="0"/>
      </c:catAx>
      <c:valAx>
        <c:axId val="46334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LPG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2784"/>
        <c:crosses val="autoZero"/>
        <c:crossBetween val="between"/>
      </c:valAx>
      <c:valAx>
        <c:axId val="422643296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00FF"/>
                    </a:solidFill>
                  </a:rPr>
                  <a:t>Feed Water (m3)</a:t>
                </a:r>
              </a:p>
            </c:rich>
          </c:tx>
          <c:layout>
            <c:manualLayout>
              <c:xMode val="edge"/>
              <c:yMode val="edge"/>
              <c:x val="0.94148891740955276"/>
              <c:y val="0.32647236652590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51824"/>
        <c:crosses val="max"/>
        <c:crossBetween val="between"/>
      </c:valAx>
      <c:catAx>
        <c:axId val="42265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643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0000"/>
                </a:solidFill>
              </a:rPr>
              <a:t>Operate time and Power of Boiler on Feb , 2022</a:t>
            </a:r>
          </a:p>
        </c:rich>
      </c:tx>
      <c:layout>
        <c:manualLayout>
          <c:xMode val="edge"/>
          <c:yMode val="edge"/>
          <c:x val="0.25973329697521652"/>
          <c:y val="3.0033367781054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'Jan'' 23    '!$I$4:$I$5</c:f>
              <c:strCache>
                <c:ptCount val="2"/>
                <c:pt idx="0">
                  <c:v>Operate time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dLbl>
              <c:idx val="32"/>
              <c:layout>
                <c:manualLayout>
                  <c:x val="-1.6838505605167288E-2"/>
                  <c:y val="-3.33704086456165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D3-40CA-805F-5D3C3A54DC5C}"/>
                </c:ext>
              </c:extLst>
            </c:dLbl>
            <c:dLbl>
              <c:idx val="34"/>
              <c:layout>
                <c:manualLayout>
                  <c:x val="-1.1786953923617092E-2"/>
                  <c:y val="3.33704086456159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9E-49B3-A341-427413353375}"/>
                </c:ext>
              </c:extLst>
            </c:dLbl>
            <c:dLbl>
              <c:idx val="37"/>
              <c:layout>
                <c:manualLayout>
                  <c:x val="0"/>
                  <c:y val="-3.6707449510177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9E-49B3-A341-427413353375}"/>
                </c:ext>
              </c:extLst>
            </c:dLbl>
            <c:dLbl>
              <c:idx val="40"/>
              <c:layout>
                <c:manualLayout>
                  <c:x val="8.3253814485012567E-3"/>
                  <c:y val="1.00111225936847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9E-49B3-A341-427413353375}"/>
                </c:ext>
              </c:extLst>
            </c:dLbl>
            <c:dLbl>
              <c:idx val="43"/>
              <c:layout>
                <c:manualLayout>
                  <c:x val="-8.4192528025836978E-3"/>
                  <c:y val="6.67408172912319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9E-49B3-A341-427413353375}"/>
                </c:ext>
              </c:extLst>
            </c:dLbl>
            <c:dLbl>
              <c:idx val="49"/>
              <c:layout>
                <c:manualLayout>
                  <c:x val="1.1786953923616969E-2"/>
                  <c:y val="6.67408172912319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9E-49B3-A341-427413353375}"/>
                </c:ext>
              </c:extLst>
            </c:dLbl>
            <c:dLbl>
              <c:idx val="50"/>
              <c:layout>
                <c:manualLayout>
                  <c:x val="1.757208694895577E-3"/>
                  <c:y val="-1.3348163458246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9E-49B3-A341-4274133533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'Jan'' 23    '!$A$7:$A$96</c:f>
              <c:numCache>
                <c:formatCode>General</c:formatCode>
                <c:ptCount val="90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4">
                  <c:v>19</c:v>
                </c:pt>
                <c:pt idx="57">
                  <c:v>20</c:v>
                </c:pt>
                <c:pt idx="60">
                  <c:v>21</c:v>
                </c:pt>
                <c:pt idx="63">
                  <c:v>22</c:v>
                </c:pt>
                <c:pt idx="66">
                  <c:v>23</c:v>
                </c:pt>
                <c:pt idx="69">
                  <c:v>24</c:v>
                </c:pt>
                <c:pt idx="72">
                  <c:v>25</c:v>
                </c:pt>
                <c:pt idx="75">
                  <c:v>26</c:v>
                </c:pt>
                <c:pt idx="78">
                  <c:v>27</c:v>
                </c:pt>
                <c:pt idx="81">
                  <c:v>28</c:v>
                </c:pt>
                <c:pt idx="84">
                  <c:v>29</c:v>
                </c:pt>
                <c:pt idx="87">
                  <c:v>30</c:v>
                </c:pt>
              </c:numCache>
            </c:numRef>
          </c:cat>
          <c:val>
            <c:numRef>
              <c:f>'Jan'' 23    '!$I$8:$I$99</c:f>
              <c:numCache>
                <c:formatCode>#,##0.0</c:formatCode>
                <c:ptCount val="92"/>
              </c:numCache>
            </c:numRef>
          </c:val>
          <c:extLst>
            <c:ext xmlns:c16="http://schemas.microsoft.com/office/drawing/2014/chart" uri="{C3380CC4-5D6E-409C-BE32-E72D297353CC}">
              <c16:uniqueId val="{00000007-48D3-40CA-805F-5D3C3A54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2645592"/>
        <c:axId val="422644608"/>
      </c:barChart>
      <c:lineChart>
        <c:grouping val="standard"/>
        <c:varyColors val="0"/>
        <c:ser>
          <c:idx val="1"/>
          <c:order val="1"/>
          <c:tx>
            <c:strRef>
              <c:f>'Jan'' 23    '!$J$4:$J$5</c:f>
              <c:strCache>
                <c:ptCount val="2"/>
                <c:pt idx="0">
                  <c:v>Power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dLbls>
            <c:dLbl>
              <c:idx val="32"/>
              <c:layout>
                <c:manualLayout>
                  <c:x val="-2.862545952878438E-2"/>
                  <c:y val="0.160177961498956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8D3-40CA-805F-5D3C3A54DC5C}"/>
                </c:ext>
              </c:extLst>
            </c:dLbl>
            <c:dLbl>
              <c:idx val="34"/>
              <c:layout>
                <c:manualLayout>
                  <c:x val="-2.862545952878438E-2"/>
                  <c:y val="0.183537247550887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D3-40CA-805F-5D3C3A54DC5C}"/>
                </c:ext>
              </c:extLst>
            </c:dLbl>
            <c:dLbl>
              <c:idx val="35"/>
              <c:layout>
                <c:manualLayout>
                  <c:x val="-2.5257758407750942E-2"/>
                  <c:y val="0.200222451873695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9E-49B3-A341-427413353375}"/>
                </c:ext>
              </c:extLst>
            </c:dLbl>
            <c:dLbl>
              <c:idx val="37"/>
              <c:layout>
                <c:manualLayout>
                  <c:x val="-2.6941608968267639E-2"/>
                  <c:y val="0.160177961498956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9E-49B3-A341-427413353375}"/>
                </c:ext>
              </c:extLst>
            </c:dLbl>
            <c:dLbl>
              <c:idx val="38"/>
              <c:layout>
                <c:manualLayout>
                  <c:x val="-3.9858731567305565E-2"/>
                  <c:y val="0.203559492738257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9E-49B3-A341-427413353375}"/>
                </c:ext>
              </c:extLst>
            </c:dLbl>
            <c:dLbl>
              <c:idx val="40"/>
              <c:layout>
                <c:manualLayout>
                  <c:x val="-2.5734274857711313E-2"/>
                  <c:y val="0.160177961498956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9E-49B3-A341-427413353375}"/>
                </c:ext>
              </c:extLst>
            </c:dLbl>
            <c:dLbl>
              <c:idx val="41"/>
              <c:layout>
                <c:manualLayout>
                  <c:x val="-3.0150327859297155E-2"/>
                  <c:y val="0.21357061533194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9E-49B3-A341-427413353375}"/>
                </c:ext>
              </c:extLst>
            </c:dLbl>
            <c:dLbl>
              <c:idx val="43"/>
              <c:layout>
                <c:manualLayout>
                  <c:x val="-2.5587368840305602E-2"/>
                  <c:y val="0.16351500236351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9E-49B3-A341-427413353375}"/>
                </c:ext>
              </c:extLst>
            </c:dLbl>
            <c:dLbl>
              <c:idx val="44"/>
              <c:layout>
                <c:manualLayout>
                  <c:x val="-3.9321092667864987E-2"/>
                  <c:y val="0.19354837014457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9E-49B3-A341-427413353375}"/>
                </c:ext>
              </c:extLst>
            </c:dLbl>
            <c:dLbl>
              <c:idx val="46"/>
              <c:layout>
                <c:manualLayout>
                  <c:x val="-2.8896599245025113E-2"/>
                  <c:y val="0.16351500236351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9E-49B3-A341-427413353375}"/>
                </c:ext>
              </c:extLst>
            </c:dLbl>
            <c:dLbl>
              <c:idx val="47"/>
              <c:layout>
                <c:manualLayout>
                  <c:x val="-2.0206206726200729E-2"/>
                  <c:y val="0.1902113292800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39E-49B3-A341-427413353375}"/>
                </c:ext>
              </c:extLst>
            </c:dLbl>
            <c:dLbl>
              <c:idx val="49"/>
              <c:layout>
                <c:manualLayout>
                  <c:x val="-2.5963252016609928E-2"/>
                  <c:y val="0.18020020668632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9E-49B3-A341-427413353375}"/>
                </c:ext>
              </c:extLst>
            </c:dLbl>
            <c:dLbl>
              <c:idx val="50"/>
              <c:layout>
                <c:manualLayout>
                  <c:x val="-3.2030728414463035E-2"/>
                  <c:y val="0.15016683890527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39E-49B3-A341-427413353375}"/>
                </c:ext>
              </c:extLst>
            </c:dLbl>
            <c:dLbl>
              <c:idx val="52"/>
              <c:layout>
                <c:manualLayout>
                  <c:x val="-3.3839297280104035E-2"/>
                  <c:y val="0.190211329280011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39E-49B3-A341-42741335337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66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('Jan'' 23    '!$A$7:$A$58,'Jan'' 23    '!$A$60:$A$96)</c:f>
              <c:numCache>
                <c:formatCode>General</c:formatCode>
                <c:ptCount val="89"/>
                <c:pt idx="0">
                  <c:v>1</c:v>
                </c:pt>
                <c:pt idx="3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5">
                  <c:v>6</c:v>
                </c:pt>
                <c:pt idx="18">
                  <c:v>7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  <c:pt idx="30">
                  <c:v>11</c:v>
                </c:pt>
                <c:pt idx="33">
                  <c:v>12</c:v>
                </c:pt>
                <c:pt idx="36">
                  <c:v>13</c:v>
                </c:pt>
                <c:pt idx="39">
                  <c:v>14</c:v>
                </c:pt>
                <c:pt idx="42">
                  <c:v>15</c:v>
                </c:pt>
                <c:pt idx="45">
                  <c:v>16</c:v>
                </c:pt>
                <c:pt idx="48">
                  <c:v>17</c:v>
                </c:pt>
                <c:pt idx="51">
                  <c:v>18</c:v>
                </c:pt>
                <c:pt idx="53">
                  <c:v>19</c:v>
                </c:pt>
                <c:pt idx="56">
                  <c:v>20</c:v>
                </c:pt>
                <c:pt idx="59">
                  <c:v>21</c:v>
                </c:pt>
                <c:pt idx="62">
                  <c:v>22</c:v>
                </c:pt>
                <c:pt idx="65">
                  <c:v>23</c:v>
                </c:pt>
                <c:pt idx="68">
                  <c:v>24</c:v>
                </c:pt>
                <c:pt idx="71">
                  <c:v>25</c:v>
                </c:pt>
                <c:pt idx="74">
                  <c:v>26</c:v>
                </c:pt>
                <c:pt idx="77">
                  <c:v>27</c:v>
                </c:pt>
                <c:pt idx="80">
                  <c:v>28</c:v>
                </c:pt>
                <c:pt idx="83">
                  <c:v>29</c:v>
                </c:pt>
                <c:pt idx="86">
                  <c:v>30</c:v>
                </c:pt>
              </c:numCache>
            </c:numRef>
          </c:cat>
          <c:val>
            <c:numRef>
              <c:f>'Jan'' 23    '!$J$8:$J$99</c:f>
              <c:numCache>
                <c:formatCode>#,##0.0</c:formatCode>
                <c:ptCount val="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D3-40CA-805F-5D3C3A54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238104"/>
        <c:axId val="538240728"/>
      </c:lineChart>
      <c:catAx>
        <c:axId val="422645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4608"/>
        <c:crosses val="autoZero"/>
        <c:auto val="1"/>
        <c:lblAlgn val="ctr"/>
        <c:lblOffset val="100"/>
        <c:noMultiLvlLbl val="0"/>
      </c:catAx>
      <c:valAx>
        <c:axId val="422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B050"/>
                    </a:solidFill>
                  </a:rPr>
                  <a:t>Operate</a:t>
                </a:r>
                <a:r>
                  <a:rPr lang="en-US" baseline="0">
                    <a:solidFill>
                      <a:srgbClr val="00B050"/>
                    </a:solidFill>
                  </a:rPr>
                  <a:t> time (hour)</a:t>
                </a:r>
                <a:endParaRPr lang="en-US">
                  <a:solidFill>
                    <a:srgbClr val="00B05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645592"/>
        <c:crosses val="autoZero"/>
        <c:crossBetween val="between"/>
      </c:valAx>
      <c:valAx>
        <c:axId val="53824072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5050"/>
                    </a:solidFill>
                  </a:rPr>
                  <a:t>Electric Power (kWh)</a:t>
                </a:r>
              </a:p>
            </c:rich>
          </c:tx>
          <c:layout>
            <c:manualLayout>
              <c:xMode val="edge"/>
              <c:yMode val="edge"/>
              <c:x val="0.9623021575080094"/>
              <c:y val="0.29767770859330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38104"/>
        <c:crosses val="max"/>
        <c:crossBetween val="between"/>
      </c:valAx>
      <c:catAx>
        <c:axId val="538238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8240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03783064626368"/>
          <c:y val="0.87360918311604463"/>
          <c:w val="0.22567386115499227"/>
          <c:h val="5.6312958728161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of Soft</a:t>
            </a:r>
            <a:r>
              <a:rPr lang="en-US" baseline="0"/>
              <a:t> 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80927384076985E-2"/>
          <c:y val="0.13584021509506433"/>
          <c:w val="0.87251670753322608"/>
          <c:h val="0.70583445362012665"/>
        </c:manualLayout>
      </c:layout>
      <c:lineChart>
        <c:grouping val="standard"/>
        <c:varyColors val="0"/>
        <c:ser>
          <c:idx val="0"/>
          <c:order val="0"/>
          <c:tx>
            <c:strRef>
              <c:f>'Jan'' 23    '!$L$5:$L$6</c:f>
              <c:strCache>
                <c:ptCount val="1"/>
                <c:pt idx="0">
                  <c:v>Soft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C29-432F-83C5-B3EB6D67F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9933FF"/>
                </a:solidFill>
              </a:rPr>
              <a:t>pH of Feed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30507475502334"/>
          <c:y val="0.17171296296296298"/>
          <c:w val="0.84436591849832876"/>
          <c:h val="0.51681284631087776"/>
        </c:manualLayout>
      </c:layout>
      <c:lineChart>
        <c:grouping val="standard"/>
        <c:varyColors val="0"/>
        <c:ser>
          <c:idx val="1"/>
          <c:order val="0"/>
          <c:tx>
            <c:strRef>
              <c:f>'Jan'' 23    '!$M$5</c:f>
              <c:strCache>
                <c:ptCount val="1"/>
                <c:pt idx="0">
                  <c:v>Feed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FF"/>
              </a:solidFill>
              <a:ln w="9525">
                <a:solidFill>
                  <a:srgbClr val="9933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38C-4443-8CA3-F7AB8246F868}"/>
            </c:ext>
          </c:extLst>
        </c:ser>
        <c:ser>
          <c:idx val="0"/>
          <c:order val="1"/>
          <c:tx>
            <c:strRef>
              <c:f>'Jan'' 23    '!#REF!</c:f>
              <c:strCache>
                <c:ptCount val="1"/>
                <c:pt idx="0">
                  <c:v>pH 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38C-4443-8CA3-F7AB8246F868}"/>
            </c:ext>
          </c:extLst>
        </c:ser>
        <c:ser>
          <c:idx val="2"/>
          <c:order val="2"/>
          <c:tx>
            <c:strRef>
              <c:f>'Jan'' 23    '!#REF!</c:f>
              <c:strCache>
                <c:ptCount val="1"/>
                <c:pt idx="0">
                  <c:v>pH 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38C-4443-8CA3-F7AB8246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2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0000FF"/>
                </a:solidFill>
                <a:effectLst/>
              </a:rPr>
              <a:t>pH</a:t>
            </a:r>
            <a:r>
              <a:rPr lang="en-US" sz="1100" b="0" i="0" baseline="0">
                <a:solidFill>
                  <a:srgbClr val="0000FF"/>
                </a:solidFill>
                <a:effectLst/>
              </a:rPr>
              <a:t>  </a:t>
            </a:r>
            <a:r>
              <a:rPr lang="en-US">
                <a:solidFill>
                  <a:srgbClr val="0000FF"/>
                </a:solidFill>
              </a:rPr>
              <a:t>of Boiler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598312753641"/>
          <c:y val="0.17171296296296298"/>
          <c:w val="0.84451912999302814"/>
          <c:h val="0.51681284631087776"/>
        </c:manualLayout>
      </c:layout>
      <c:lineChart>
        <c:grouping val="standard"/>
        <c:varyColors val="0"/>
        <c:ser>
          <c:idx val="2"/>
          <c:order val="0"/>
          <c:tx>
            <c:strRef>
              <c:f>'Jan'' 23    '!$N$5</c:f>
              <c:strCache>
                <c:ptCount val="1"/>
                <c:pt idx="0">
                  <c:v>Boiler water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3EF-40B2-A7C0-6E6B9144C91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3EF-40B2-A7C0-6E6B9144C91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3EF-40B2-A7C0-6E6B9144C91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3EF-40B2-A7C0-6E6B9144C91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3EF-40B2-A7C0-6E6B9144C91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3EF-40B2-A7C0-6E6B9144C91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3EF-40B2-A7C0-6E6B9144C91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3EF-40B2-A7C0-6E6B9144C91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3EF-40B2-A7C0-6E6B9144C91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3EF-40B2-A7C0-6E6B9144C91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3EF-40B2-A7C0-6E6B9144C917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3EF-40B2-A7C0-6E6B9144C917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0000FF"/>
                </a:solidFill>
                <a:ln w="9525">
                  <a:solidFill>
                    <a:srgbClr val="0000F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3EF-40B2-A7C0-6E6B9144C917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3EF-40B2-A7C0-6E6B9144C917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3EF-40B2-A7C0-6E6B9144C91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3EF-40B2-A7C0-6E6B9144C917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3EF-40B2-A7C0-6E6B9144C917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3EF-40B2-A7C0-6E6B9144C917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3EF-40B2-A7C0-6E6B9144C917}"/>
            </c:ext>
          </c:extLst>
        </c:ser>
        <c:ser>
          <c:idx val="0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3EF-40B2-A7C0-6E6B9144C917}"/>
            </c:ext>
          </c:extLst>
        </c:ser>
        <c:ser>
          <c:idx val="1"/>
          <c:order val="2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3EF-40B2-A7C0-6E6B9144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Dissolved Solid (TDS) of Boiler </a:t>
            </a:r>
            <a:r>
              <a:rPr lang="en-US" baseline="0"/>
              <a:t>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2341539725984"/>
          <c:y val="0.17171296296296298"/>
          <c:w val="0.81912403294888314"/>
          <c:h val="0.516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'Jan'' 23    '!$S$5</c:f>
              <c:strCache>
                <c:ptCount val="1"/>
                <c:pt idx="0">
                  <c:v>Boiler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FF"/>
              </a:solidFill>
              <a:ln w="9525">
                <a:solidFill>
                  <a:srgbClr val="9933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A21-4C68-A009-6723EDB2E9F2}"/>
            </c:ext>
          </c:extLst>
        </c:ser>
        <c:ser>
          <c:idx val="1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A21-4C68-A009-6723EDB2E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TDS</a:t>
                </a:r>
              </a:p>
            </c:rich>
          </c:tx>
          <c:layout>
            <c:manualLayout>
              <c:xMode val="edge"/>
              <c:yMode val="edge"/>
              <c:x val="1.3930714549128585E-2"/>
              <c:y val="0.33204068241469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Hardness of Feed </a:t>
            </a:r>
            <a:r>
              <a:rPr lang="en-US" baseline="0"/>
              <a:t>Water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4030579069973"/>
          <c:y val="0.17171296296296298"/>
          <c:w val="0.84433528751011344"/>
          <c:h val="0.516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'Jan'' 23    '!$P$5</c:f>
              <c:strCache>
                <c:ptCount val="1"/>
                <c:pt idx="0">
                  <c:v>Feed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570-48C2-8B76-DC2847AE0FF5}"/>
            </c:ext>
          </c:extLst>
        </c:ser>
        <c:ser>
          <c:idx val="1"/>
          <c:order val="1"/>
          <c:tx>
            <c:strRef>
              <c:f>'Jan'' 23    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570-48C2-8B76-DC2847AE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848251557844786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2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Hardness  ppm as CaCO3</a:t>
                </a:r>
              </a:p>
            </c:rich>
          </c:tx>
          <c:layout>
            <c:manualLayout>
              <c:xMode val="edge"/>
              <c:yMode val="edge"/>
              <c:x val="1.6691781006461823E-2"/>
              <c:y val="0.17819808982210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9743000874890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'Jan'' 23    '!$K$4:$K$5</c:f>
              <c:strCache>
                <c:ptCount val="1"/>
                <c:pt idx="0">
                  <c:v>                                            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3300"/>
              </a:solidFill>
              <a:ln w="9525">
                <a:solidFill>
                  <a:srgbClr val="993300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824-45CE-80C8-37787F089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29320"/>
        <c:axId val="594423416"/>
      </c:lineChart>
      <c:catAx>
        <c:axId val="594429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3416"/>
        <c:crosses val="autoZero"/>
        <c:auto val="1"/>
        <c:lblAlgn val="ctr"/>
        <c:lblOffset val="100"/>
        <c:noMultiLvlLbl val="0"/>
      </c:catAx>
      <c:valAx>
        <c:axId val="594423416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Blowdown time (min)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5999234470691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Boiler Operate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12386027636413"/>
          <c:y val="0.18055555555555552"/>
          <c:w val="0.73897462817147863"/>
          <c:h val="0.66111913094196562"/>
        </c:manualLayout>
      </c:layout>
      <c:lineChart>
        <c:grouping val="standard"/>
        <c:varyColors val="0"/>
        <c:ser>
          <c:idx val="0"/>
          <c:order val="0"/>
          <c:tx>
            <c:strRef>
              <c:f>'Jan'' 23    '!$I$4:$I$5</c:f>
              <c:strCache>
                <c:ptCount val="1"/>
                <c:pt idx="0">
                  <c:v>Operate time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00"/>
              </a:solidFill>
              <a:ln w="9525">
                <a:solidFill>
                  <a:srgbClr val="FF6600"/>
                </a:solidFill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8E4-413B-B995-106D56308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83048"/>
        <c:axId val="548285016"/>
      </c:lineChart>
      <c:catAx>
        <c:axId val="548283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5016"/>
        <c:crosses val="autoZero"/>
        <c:auto val="1"/>
        <c:lblAlgn val="ctr"/>
        <c:lblOffset val="100"/>
        <c:noMultiLvlLbl val="0"/>
      </c:catAx>
      <c:valAx>
        <c:axId val="548285016"/>
        <c:scaling>
          <c:orientation val="minMax"/>
          <c:max val="14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8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emf"/><Relationship Id="rId18" Type="http://schemas.openxmlformats.org/officeDocument/2006/relationships/image" Target="../media/image9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emf"/><Relationship Id="rId17" Type="http://schemas.openxmlformats.org/officeDocument/2006/relationships/image" Target="../media/image8.emf"/><Relationship Id="rId2" Type="http://schemas.openxmlformats.org/officeDocument/2006/relationships/chart" Target="../charts/chart2.xml"/><Relationship Id="rId16" Type="http://schemas.openxmlformats.org/officeDocument/2006/relationships/image" Target="../media/image7.emf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emf"/><Relationship Id="rId5" Type="http://schemas.openxmlformats.org/officeDocument/2006/relationships/chart" Target="../charts/chart5.xml"/><Relationship Id="rId15" Type="http://schemas.openxmlformats.org/officeDocument/2006/relationships/image" Target="../media/image6.emf"/><Relationship Id="rId10" Type="http://schemas.openxmlformats.org/officeDocument/2006/relationships/image" Target="../media/image1.emf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391583</xdr:colOff>
      <xdr:row>105</xdr:row>
      <xdr:rowOff>4232</xdr:rowOff>
    </xdr:from>
    <xdr:to>
      <xdr:col>12</xdr:col>
      <xdr:colOff>21166</xdr:colOff>
      <xdr:row>126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75E70-E752-47A7-83EC-68FF6DB7C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128</xdr:row>
      <xdr:rowOff>14815</xdr:rowOff>
    </xdr:from>
    <xdr:to>
      <xdr:col>11</xdr:col>
      <xdr:colOff>719667</xdr:colOff>
      <xdr:row>148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3E5C56-AA40-47C5-B6C2-B80266894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13607</xdr:colOff>
      <xdr:row>104</xdr:row>
      <xdr:rowOff>190084</xdr:rowOff>
    </xdr:from>
    <xdr:to>
      <xdr:col>18</xdr:col>
      <xdr:colOff>789215</xdr:colOff>
      <xdr:row>121</xdr:row>
      <xdr:rowOff>75784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EAED86-7C42-458B-A37F-3051293A6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11907</xdr:colOff>
      <xdr:row>122</xdr:row>
      <xdr:rowOff>9525</xdr:rowOff>
    </xdr:from>
    <xdr:to>
      <xdr:col>18</xdr:col>
      <xdr:colOff>109538</xdr:colOff>
      <xdr:row>136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F7BCAA-1BC6-49BF-80FC-C6CE3652F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138</xdr:row>
      <xdr:rowOff>188119</xdr:rowOff>
    </xdr:from>
    <xdr:to>
      <xdr:col>18</xdr:col>
      <xdr:colOff>95250</xdr:colOff>
      <xdr:row>153</xdr:row>
      <xdr:rowOff>73819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EB2035-B43E-4750-BA46-7596B9E4B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20731</xdr:colOff>
      <xdr:row>173</xdr:row>
      <xdr:rowOff>26894</xdr:rowOff>
    </xdr:from>
    <xdr:to>
      <xdr:col>18</xdr:col>
      <xdr:colOff>111219</xdr:colOff>
      <xdr:row>187</xdr:row>
      <xdr:rowOff>103094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1EDA39-CDDC-494E-84BF-FFD151E8A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741269</xdr:colOff>
      <xdr:row>156</xdr:row>
      <xdr:rowOff>26894</xdr:rowOff>
    </xdr:from>
    <xdr:to>
      <xdr:col>18</xdr:col>
      <xdr:colOff>88807</xdr:colOff>
      <xdr:row>170</xdr:row>
      <xdr:rowOff>103094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C5B0CB-B9DA-44CF-93A1-8495D6360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21166</xdr:colOff>
      <xdr:row>190</xdr:row>
      <xdr:rowOff>12700</xdr:rowOff>
    </xdr:from>
    <xdr:to>
      <xdr:col>18</xdr:col>
      <xdr:colOff>116416</xdr:colOff>
      <xdr:row>204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257016-C26E-4857-AFC0-0F3EAFFD9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207</xdr:row>
      <xdr:rowOff>0</xdr:rowOff>
    </xdr:from>
    <xdr:to>
      <xdr:col>18</xdr:col>
      <xdr:colOff>78582</xdr:colOff>
      <xdr:row>221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FF1349-8F01-41E6-98C9-BC98692FE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149</xdr:row>
      <xdr:rowOff>0</xdr:rowOff>
    </xdr:from>
    <xdr:to>
      <xdr:col>7</xdr:col>
      <xdr:colOff>544286</xdr:colOff>
      <xdr:row>168</xdr:row>
      <xdr:rowOff>38100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9167A0-695A-4340-9AEC-044B869B4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2669500"/>
          <a:ext cx="5478236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7</xdr:col>
      <xdr:colOff>544286</xdr:colOff>
      <xdr:row>189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25E6BD-F312-4009-87E3-52AC9351B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670000"/>
          <a:ext cx="5478236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</xdr:colOff>
      <xdr:row>105</xdr:row>
      <xdr:rowOff>0</xdr:rowOff>
    </xdr:from>
    <xdr:to>
      <xdr:col>26</xdr:col>
      <xdr:colOff>14324</xdr:colOff>
      <xdr:row>120</xdr:row>
      <xdr:rowOff>98593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E256B7-CFDE-4195-B697-36A5161A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6" y="14287500"/>
          <a:ext cx="4435929" cy="2956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122</xdr:row>
      <xdr:rowOff>0</xdr:rowOff>
    </xdr:from>
    <xdr:to>
      <xdr:col>25</xdr:col>
      <xdr:colOff>600416</xdr:colOff>
      <xdr:row>137</xdr:row>
      <xdr:rowOff>81643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D292182-AE04-4F21-BA34-3B3F73468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175260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139</xdr:row>
      <xdr:rowOff>0</xdr:rowOff>
    </xdr:from>
    <xdr:to>
      <xdr:col>25</xdr:col>
      <xdr:colOff>600416</xdr:colOff>
      <xdr:row>154</xdr:row>
      <xdr:rowOff>81643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38BCFF-001D-4CF1-ACCA-6C8CCDB68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07645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156</xdr:row>
      <xdr:rowOff>0</xdr:rowOff>
    </xdr:from>
    <xdr:to>
      <xdr:col>25</xdr:col>
      <xdr:colOff>571500</xdr:colOff>
      <xdr:row>171</xdr:row>
      <xdr:rowOff>62433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5D29D4-098C-4687-8094-EA1B3484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4003000"/>
          <a:ext cx="4381500" cy="2919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173</xdr:row>
      <xdr:rowOff>0</xdr:rowOff>
    </xdr:from>
    <xdr:to>
      <xdr:col>26</xdr:col>
      <xdr:colOff>50254</xdr:colOff>
      <xdr:row>188</xdr:row>
      <xdr:rowOff>122464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566B89-60C6-4D70-8879-5994E9DA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27241500"/>
          <a:ext cx="4471860" cy="2979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190</xdr:row>
      <xdr:rowOff>0</xdr:rowOff>
    </xdr:from>
    <xdr:to>
      <xdr:col>25</xdr:col>
      <xdr:colOff>598714</xdr:colOff>
      <xdr:row>205</xdr:row>
      <xdr:rowOff>80513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56386C-4D80-48F2-8426-354CEEA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30480000"/>
          <a:ext cx="4408714" cy="2938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207</xdr:row>
      <xdr:rowOff>0</xdr:rowOff>
    </xdr:from>
    <xdr:to>
      <xdr:col>25</xdr:col>
      <xdr:colOff>600416</xdr:colOff>
      <xdr:row>222</xdr:row>
      <xdr:rowOff>81643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A5E7723-0462-4994-99AE-54B13639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0525" y="33718500"/>
          <a:ext cx="4410416" cy="2939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0.04161</cdr:x>
      <cdr:y>0.85181</cdr:y>
    </cdr:from>
    <cdr:to>
      <cdr:x>0.30406</cdr:x>
      <cdr:y>0.9589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65CBBDC-7B47-4BEC-93E4-91A1E387D959}"/>
            </a:ext>
          </a:extLst>
        </cdr:cNvPr>
        <cdr:cNvSpPr txBox="1"/>
      </cdr:nvSpPr>
      <cdr:spPr>
        <a:xfrm xmlns:a="http://schemas.openxmlformats.org/drawingml/2006/main">
          <a:off x="315542" y="3557303"/>
          <a:ext cx="1990148" cy="44722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FF0000"/>
          </a:solidFill>
          <a:prstDash val="dash"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FF0000"/>
              </a:solidFill>
            </a:rPr>
            <a:t>LPG</a:t>
          </a:r>
          <a:r>
            <a:rPr lang="en-US" sz="1100" baseline="-25000">
              <a:solidFill>
                <a:srgbClr val="FF0000"/>
              </a:solidFill>
            </a:rPr>
            <a:t>total use </a:t>
          </a:r>
          <a:r>
            <a:rPr lang="en-US" sz="1100" baseline="0">
              <a:solidFill>
                <a:srgbClr val="FF0000"/>
              </a:solidFill>
            </a:rPr>
            <a:t>= 5,053.7 m</a:t>
          </a:r>
          <a:r>
            <a:rPr lang="en-US" sz="1100" baseline="30000">
              <a:solidFill>
                <a:srgbClr val="FF0000"/>
              </a:solidFill>
            </a:rPr>
            <a:t>3</a:t>
          </a:r>
          <a:r>
            <a:rPr lang="en-US" sz="1100" baseline="0">
              <a:solidFill>
                <a:srgbClr val="FF0000"/>
              </a:solidFill>
            </a:rPr>
            <a:t>/month</a:t>
          </a:r>
        </a:p>
        <a:p xmlns:a="http://schemas.openxmlformats.org/drawingml/2006/main">
          <a:r>
            <a:rPr lang="en-US" sz="1100" baseline="0">
              <a:solidFill>
                <a:srgbClr val="FF6600"/>
              </a:solidFill>
            </a:rPr>
            <a:t>LPG</a:t>
          </a:r>
          <a:r>
            <a:rPr lang="en-US" sz="1100" baseline="-25000">
              <a:solidFill>
                <a:srgbClr val="FF6600"/>
              </a:solidFill>
            </a:rPr>
            <a:t>avg          </a:t>
          </a:r>
          <a:r>
            <a:rPr lang="en-US" sz="1100" baseline="0">
              <a:solidFill>
                <a:srgbClr val="FF6600"/>
              </a:solidFill>
            </a:rPr>
            <a:t>= 93.6 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rgbClr val="FF6600"/>
            </a:solidFill>
          </a:endParaRPr>
        </a:p>
      </cdr:txBody>
    </cdr:sp>
  </cdr:relSizeAnchor>
  <cdr:relSizeAnchor xmlns:cdr="http://schemas.openxmlformats.org/drawingml/2006/chartDrawing">
    <cdr:from>
      <cdr:x>0.6761</cdr:x>
      <cdr:y>0.83157</cdr:y>
    </cdr:from>
    <cdr:to>
      <cdr:x>0.9919</cdr:x>
      <cdr:y>0.93867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40F1BC2-5DE0-4CE3-A97A-873D9191B897}"/>
            </a:ext>
          </a:extLst>
        </cdr:cNvPr>
        <cdr:cNvSpPr txBox="1"/>
      </cdr:nvSpPr>
      <cdr:spPr>
        <a:xfrm xmlns:a="http://schemas.openxmlformats.org/drawingml/2006/main">
          <a:off x="5126856" y="3472793"/>
          <a:ext cx="2394698" cy="44726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0000FF"/>
          </a:solidFill>
          <a:prstDash val="dash"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0000FF"/>
              </a:solidFill>
            </a:rPr>
            <a:t>Feed Water</a:t>
          </a:r>
          <a:r>
            <a:rPr lang="en-US" sz="1100" baseline="-25000">
              <a:solidFill>
                <a:srgbClr val="0000FF"/>
              </a:solidFill>
            </a:rPr>
            <a:t>total use </a:t>
          </a:r>
          <a:r>
            <a:rPr lang="en-US" sz="1100" baseline="0">
              <a:solidFill>
                <a:srgbClr val="0000FF"/>
              </a:solidFill>
            </a:rPr>
            <a:t>= 231.5 m</a:t>
          </a:r>
          <a:r>
            <a:rPr lang="en-US" sz="1100" baseline="30000">
              <a:solidFill>
                <a:srgbClr val="0000FF"/>
              </a:solidFill>
            </a:rPr>
            <a:t>3</a:t>
          </a:r>
          <a:r>
            <a:rPr lang="en-US" sz="1100" baseline="0">
              <a:solidFill>
                <a:srgbClr val="0000FF"/>
              </a:solidFill>
            </a:rPr>
            <a:t>/month</a:t>
          </a:r>
        </a:p>
        <a:p xmlns:a="http://schemas.openxmlformats.org/drawingml/2006/main"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Feed Water</a:t>
          </a:r>
          <a:r>
            <a:rPr lang="en-US" sz="1100" baseline="-25000">
              <a:solidFill>
                <a:schemeClr val="accent1">
                  <a:lumMod val="75000"/>
                </a:schemeClr>
              </a:solidFill>
            </a:rPr>
            <a:t>avg         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</a:rPr>
            <a:t>= 4.4   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3000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US" sz="110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/month</a:t>
          </a:r>
          <a:endParaRPr lang="en-US" sz="1100" baseline="-250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0.05996</cdr:x>
      <cdr:y>0.84427</cdr:y>
    </cdr:from>
    <cdr:to>
      <cdr:x>0.37861</cdr:x>
      <cdr:y>0.97042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D6C1B7-0FED-446D-BC18-83E61C765475}"/>
            </a:ext>
          </a:extLst>
        </cdr:cNvPr>
        <cdr:cNvSpPr txBox="1"/>
      </cdr:nvSpPr>
      <cdr:spPr>
        <a:xfrm xmlns:a="http://schemas.openxmlformats.org/drawingml/2006/main">
          <a:off x="450851" y="3213100"/>
          <a:ext cx="2396068" cy="48010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rgbClr val="00B050"/>
          </a:solidFill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00B050"/>
              </a:solidFill>
            </a:rPr>
            <a:t>Operate time</a:t>
          </a:r>
          <a:r>
            <a:rPr lang="en-US" sz="1100" baseline="-25000">
              <a:solidFill>
                <a:srgbClr val="00B050"/>
              </a:solidFill>
            </a:rPr>
            <a:t>total       </a:t>
          </a:r>
          <a:r>
            <a:rPr lang="en-US" sz="1100" baseline="0">
              <a:solidFill>
                <a:srgbClr val="00B050"/>
              </a:solidFill>
            </a:rPr>
            <a:t>= 656.0hr/month</a:t>
          </a:r>
        </a:p>
        <a:p xmlns:a="http://schemas.openxmlformats.org/drawingml/2006/main">
          <a:pPr algn="l"/>
          <a:r>
            <a:rPr lang="en-US" sz="1100" baseline="0">
              <a:solidFill>
                <a:srgbClr val="006699"/>
              </a:solidFill>
            </a:rPr>
            <a:t>Operate time</a:t>
          </a:r>
          <a:r>
            <a:rPr lang="en-US" sz="1100" baseline="-25000">
              <a:solidFill>
                <a:srgbClr val="006699"/>
              </a:solidFill>
            </a:rPr>
            <a:t>avg  </a:t>
          </a:r>
          <a:r>
            <a:rPr lang="en-US" sz="1100" baseline="0">
              <a:solidFill>
                <a:srgbClr val="006699"/>
              </a:solidFill>
            </a:rPr>
            <a:t>= 12.4 </a:t>
          </a:r>
          <a:r>
            <a:rPr lang="en-US" sz="1100" baseline="0">
              <a:solidFill>
                <a:srgbClr val="006699"/>
              </a:solidFill>
              <a:effectLst/>
              <a:latin typeface="+mn-lt"/>
              <a:ea typeface="+mn-ea"/>
              <a:cs typeface="+mn-cs"/>
            </a:rPr>
            <a:t>hr/day</a:t>
          </a:r>
          <a:endParaRPr lang="en-US" sz="1100" baseline="-25000">
            <a:solidFill>
              <a:srgbClr val="006699"/>
            </a:solidFill>
          </a:endParaRPr>
        </a:p>
      </cdr:txBody>
    </cdr:sp>
  </cdr:relSizeAnchor>
  <cdr:relSizeAnchor xmlns:cdr="http://schemas.openxmlformats.org/drawingml/2006/chartDrawing">
    <cdr:from>
      <cdr:x>0.62491</cdr:x>
      <cdr:y>0.85428</cdr:y>
    </cdr:from>
    <cdr:to>
      <cdr:x>0.98283</cdr:x>
      <cdr:y>0.98044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C0D8EB7-4AFC-4BC2-B855-0C9B39D0AF18}"/>
            </a:ext>
          </a:extLst>
        </cdr:cNvPr>
        <cdr:cNvSpPr txBox="1"/>
      </cdr:nvSpPr>
      <cdr:spPr>
        <a:xfrm xmlns:a="http://schemas.openxmlformats.org/drawingml/2006/main">
          <a:off x="4699000" y="3251200"/>
          <a:ext cx="2691343" cy="48010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accent2"/>
          </a:solidFill>
          <a:prstDash val="dash"/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rgbClr val="FF6600"/>
              </a:solidFill>
            </a:rPr>
            <a:t>Power Electric </a:t>
          </a:r>
          <a:r>
            <a:rPr lang="en-US" sz="1100" baseline="-25000">
              <a:solidFill>
                <a:srgbClr val="FF6600"/>
              </a:solidFill>
            </a:rPr>
            <a:t>total       </a:t>
          </a:r>
          <a:r>
            <a:rPr lang="en-US" sz="1100" baseline="0">
              <a:solidFill>
                <a:srgbClr val="FF6600"/>
              </a:solidFill>
            </a:rPr>
            <a:t>= 6,428.8 kWh/month</a:t>
          </a:r>
        </a:p>
        <a:p xmlns:a="http://schemas.openxmlformats.org/drawingml/2006/main">
          <a:pPr algn="l"/>
          <a:r>
            <a:rPr lang="en-US" sz="1100" baseline="0">
              <a:solidFill>
                <a:schemeClr val="accent2">
                  <a:lumMod val="75000"/>
                </a:schemeClr>
              </a:solidFill>
            </a:rPr>
            <a:t>Power Electric </a:t>
          </a:r>
          <a:r>
            <a:rPr lang="en-US" sz="1100" baseline="-25000">
              <a:solidFill>
                <a:schemeClr val="accent2">
                  <a:lumMod val="75000"/>
                </a:schemeClr>
              </a:solidFill>
            </a:rPr>
            <a:t>avg  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</a:rPr>
            <a:t>= 121.3 </a:t>
          </a:r>
          <a:r>
            <a:rPr lang="en-US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kWh/day</a:t>
          </a:r>
          <a:endParaRPr lang="en-US" sz="1100" baseline="-25000">
            <a:solidFill>
              <a:schemeClr val="accent2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1A61-59FB-4A02-86EF-66561E6FCB88}">
  <sheetPr>
    <tabColor rgb="FFFF0000"/>
  </sheetPr>
  <dimension ref="A1:AL105"/>
  <sheetViews>
    <sheetView tabSelected="1" topLeftCell="A94" zoomScale="95" zoomScaleNormal="95" workbookViewId="0">
      <selection activeCell="M107" sqref="M107"/>
    </sheetView>
  </sheetViews>
  <sheetFormatPr defaultColWidth="9.140625" defaultRowHeight="15" x14ac:dyDescent="0.25"/>
  <cols>
    <col min="1" max="1" width="6" style="1" customWidth="1"/>
    <col min="2" max="2" width="12.42578125" style="1" customWidth="1"/>
    <col min="3" max="4" width="12.140625" style="1" customWidth="1"/>
    <col min="5" max="5" width="13.140625" style="1" bestFit="1" customWidth="1"/>
    <col min="6" max="6" width="12.5703125" style="1" bestFit="1" customWidth="1"/>
    <col min="7" max="7" width="11.5703125" style="1" customWidth="1"/>
    <col min="8" max="8" width="12.5703125" style="1" customWidth="1"/>
    <col min="9" max="11" width="10.140625" style="1" customWidth="1"/>
    <col min="12" max="12" width="11.140625" style="1" customWidth="1"/>
    <col min="13" max="13" width="13.85546875" style="1" customWidth="1"/>
    <col min="14" max="14" width="15.42578125" style="1" customWidth="1"/>
    <col min="15" max="15" width="11.28515625" style="1" customWidth="1"/>
    <col min="16" max="16" width="21.5703125" style="1" customWidth="1"/>
    <col min="17" max="18" width="11.140625" style="1" customWidth="1"/>
    <col min="19" max="19" width="15.85546875" style="1" customWidth="1"/>
    <col min="20" max="20" width="11.42578125" style="1" customWidth="1"/>
    <col min="21" max="35" width="9.140625" style="1"/>
    <col min="36" max="36" width="11.140625" style="1" customWidth="1"/>
    <col min="37" max="37" width="13.5703125" style="1" customWidth="1"/>
    <col min="38" max="16384" width="9.140625" style="1"/>
  </cols>
  <sheetData>
    <row r="1" spans="1:20" x14ac:dyDescent="0.25">
      <c r="A1" s="45" t="s">
        <v>32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0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1:20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ht="15" customHeight="1" x14ac:dyDescent="0.25">
      <c r="A4" s="36" t="s">
        <v>11</v>
      </c>
      <c r="B4" s="42" t="s">
        <v>23</v>
      </c>
      <c r="C4" s="47" t="s">
        <v>4</v>
      </c>
      <c r="D4" s="48"/>
      <c r="E4" s="49"/>
      <c r="F4" s="47" t="s">
        <v>25</v>
      </c>
      <c r="G4" s="48"/>
      <c r="H4" s="49"/>
      <c r="I4" s="50" t="s">
        <v>26</v>
      </c>
      <c r="J4" s="36" t="s">
        <v>9</v>
      </c>
      <c r="K4" s="50" t="s">
        <v>31</v>
      </c>
      <c r="L4" s="33" t="s">
        <v>13</v>
      </c>
      <c r="M4" s="34"/>
      <c r="N4" s="34"/>
      <c r="O4" s="33" t="s">
        <v>21</v>
      </c>
      <c r="P4" s="34"/>
      <c r="Q4" s="33" t="s">
        <v>20</v>
      </c>
      <c r="R4" s="34"/>
      <c r="S4" s="35"/>
      <c r="T4" s="36" t="s">
        <v>24</v>
      </c>
    </row>
    <row r="5" spans="1:20" x14ac:dyDescent="0.25">
      <c r="A5" s="37"/>
      <c r="B5" s="43"/>
      <c r="C5" s="52" t="s">
        <v>5</v>
      </c>
      <c r="D5" s="53"/>
      <c r="E5" s="54"/>
      <c r="F5" s="52" t="s">
        <v>5</v>
      </c>
      <c r="G5" s="53"/>
      <c r="H5" s="54"/>
      <c r="I5" s="51"/>
      <c r="J5" s="37"/>
      <c r="K5" s="51"/>
      <c r="L5" s="36" t="s">
        <v>14</v>
      </c>
      <c r="M5" s="5" t="s">
        <v>15</v>
      </c>
      <c r="N5" s="2" t="s">
        <v>16</v>
      </c>
      <c r="O5" s="36" t="s">
        <v>14</v>
      </c>
      <c r="P5" s="5" t="s">
        <v>15</v>
      </c>
      <c r="Q5" s="36" t="s">
        <v>14</v>
      </c>
      <c r="R5" s="36" t="s">
        <v>15</v>
      </c>
      <c r="S5" s="7" t="s">
        <v>16</v>
      </c>
      <c r="T5" s="37"/>
    </row>
    <row r="6" spans="1:20" x14ac:dyDescent="0.25">
      <c r="A6" s="38"/>
      <c r="B6" s="44"/>
      <c r="C6" s="27" t="s">
        <v>1</v>
      </c>
      <c r="D6" s="5" t="s">
        <v>2</v>
      </c>
      <c r="E6" s="7" t="s">
        <v>3</v>
      </c>
      <c r="F6" s="27" t="s">
        <v>1</v>
      </c>
      <c r="G6" s="5" t="s">
        <v>2</v>
      </c>
      <c r="H6" s="7" t="s">
        <v>3</v>
      </c>
      <c r="I6" s="6" t="s">
        <v>27</v>
      </c>
      <c r="J6" s="6" t="s">
        <v>10</v>
      </c>
      <c r="K6" s="6" t="s">
        <v>8</v>
      </c>
      <c r="L6" s="37"/>
      <c r="M6" s="6" t="s">
        <v>19</v>
      </c>
      <c r="N6" s="3" t="s">
        <v>18</v>
      </c>
      <c r="O6" s="37"/>
      <c r="P6" s="6" t="s">
        <v>22</v>
      </c>
      <c r="Q6" s="37"/>
      <c r="R6" s="37"/>
      <c r="S6" s="28" t="s">
        <v>17</v>
      </c>
      <c r="T6" s="37"/>
    </row>
    <row r="7" spans="1:20" x14ac:dyDescent="0.25">
      <c r="A7" s="36">
        <v>1</v>
      </c>
      <c r="B7" s="4" t="s">
        <v>6</v>
      </c>
      <c r="C7" s="29"/>
      <c r="D7" s="13"/>
      <c r="E7" s="14"/>
      <c r="F7" s="13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24"/>
      <c r="S7" s="14"/>
      <c r="T7" s="15"/>
    </row>
    <row r="8" spans="1:20" x14ac:dyDescent="0.25">
      <c r="A8" s="37"/>
      <c r="B8" s="4" t="s">
        <v>12</v>
      </c>
      <c r="C8" s="31"/>
      <c r="D8" s="3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4"/>
      <c r="S8" s="14"/>
      <c r="T8" s="15"/>
    </row>
    <row r="9" spans="1:20" x14ac:dyDescent="0.25">
      <c r="A9" s="38"/>
      <c r="B9" s="4" t="s">
        <v>30</v>
      </c>
      <c r="C9" s="31"/>
      <c r="D9" s="3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24"/>
      <c r="S9" s="14"/>
      <c r="T9" s="15"/>
    </row>
    <row r="10" spans="1:20" x14ac:dyDescent="0.25">
      <c r="A10" s="36">
        <v>2</v>
      </c>
      <c r="B10" s="4" t="s">
        <v>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24"/>
      <c r="S10" s="14"/>
      <c r="T10" s="15"/>
    </row>
    <row r="11" spans="1:20" x14ac:dyDescent="0.25">
      <c r="A11" s="37"/>
      <c r="B11" s="4" t="s">
        <v>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24"/>
      <c r="S11" s="14"/>
      <c r="T11" s="15"/>
    </row>
    <row r="12" spans="1:20" x14ac:dyDescent="0.25">
      <c r="A12" s="38"/>
      <c r="B12" s="4" t="s">
        <v>30</v>
      </c>
      <c r="C12" s="30"/>
      <c r="D12" s="3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24"/>
      <c r="S12" s="14"/>
      <c r="T12" s="15"/>
    </row>
    <row r="13" spans="1:20" x14ac:dyDescent="0.25">
      <c r="A13" s="36">
        <v>3</v>
      </c>
      <c r="B13" s="4" t="s">
        <v>6</v>
      </c>
      <c r="C13" s="30"/>
      <c r="D13" s="14"/>
      <c r="E13" s="14"/>
      <c r="F13" s="14"/>
      <c r="G13" s="14"/>
      <c r="H13" s="14"/>
      <c r="I13" s="14"/>
      <c r="J13" s="32"/>
      <c r="K13" s="32"/>
      <c r="L13" s="32"/>
      <c r="M13" s="32"/>
      <c r="N13" s="32"/>
      <c r="O13" s="32"/>
      <c r="P13" s="14"/>
      <c r="Q13" s="14"/>
      <c r="R13" s="24"/>
      <c r="S13" s="14"/>
      <c r="T13" s="15"/>
    </row>
    <row r="14" spans="1:20" x14ac:dyDescent="0.25">
      <c r="A14" s="37"/>
      <c r="B14" s="4" t="s">
        <v>12</v>
      </c>
      <c r="C14" s="30"/>
      <c r="D14" s="14"/>
      <c r="E14" s="14"/>
      <c r="F14" s="14"/>
      <c r="G14" s="14"/>
      <c r="H14" s="14"/>
      <c r="I14" s="14"/>
      <c r="J14" s="32"/>
      <c r="K14" s="32"/>
      <c r="L14" s="32"/>
      <c r="M14" s="32"/>
      <c r="N14" s="32"/>
      <c r="O14" s="32"/>
      <c r="P14" s="14"/>
      <c r="Q14" s="14"/>
      <c r="R14" s="24"/>
      <c r="S14" s="14"/>
      <c r="T14" s="15"/>
    </row>
    <row r="15" spans="1:20" x14ac:dyDescent="0.25">
      <c r="A15" s="38"/>
      <c r="B15" s="4" t="s">
        <v>30</v>
      </c>
      <c r="C15" s="30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24"/>
      <c r="S15" s="14"/>
      <c r="T15" s="15"/>
    </row>
    <row r="16" spans="1:20" x14ac:dyDescent="0.25">
      <c r="A16" s="36">
        <v>4</v>
      </c>
      <c r="B16" s="4" t="s">
        <v>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24"/>
      <c r="S16" s="14"/>
      <c r="T16" s="23"/>
    </row>
    <row r="17" spans="1:20" x14ac:dyDescent="0.25">
      <c r="A17" s="37"/>
      <c r="B17" s="4" t="s">
        <v>12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24"/>
      <c r="S17" s="14"/>
      <c r="T17" s="23"/>
    </row>
    <row r="18" spans="1:20" x14ac:dyDescent="0.25">
      <c r="A18" s="38"/>
      <c r="B18" s="4" t="s">
        <v>30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4"/>
      <c r="S18" s="14"/>
      <c r="T18" s="23"/>
    </row>
    <row r="19" spans="1:20" x14ac:dyDescent="0.25">
      <c r="A19" s="36">
        <v>5</v>
      </c>
      <c r="B19" s="4" t="s">
        <v>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4"/>
      <c r="S19" s="14"/>
      <c r="T19" s="15"/>
    </row>
    <row r="20" spans="1:20" x14ac:dyDescent="0.25">
      <c r="A20" s="37"/>
      <c r="B20" s="4" t="s">
        <v>12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4"/>
      <c r="S20" s="14"/>
      <c r="T20" s="15"/>
    </row>
    <row r="21" spans="1:20" x14ac:dyDescent="0.25">
      <c r="A21" s="38"/>
      <c r="B21" s="4" t="s">
        <v>30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24"/>
      <c r="S21" s="14"/>
      <c r="T21" s="15"/>
    </row>
    <row r="22" spans="1:20" x14ac:dyDescent="0.25">
      <c r="A22" s="36">
        <v>6</v>
      </c>
      <c r="B22" s="4" t="s">
        <v>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4"/>
      <c r="S22" s="14"/>
      <c r="T22" s="15"/>
    </row>
    <row r="23" spans="1:20" x14ac:dyDescent="0.25">
      <c r="A23" s="37"/>
      <c r="B23" s="4" t="s">
        <v>12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24"/>
      <c r="S23" s="14"/>
      <c r="T23" s="15"/>
    </row>
    <row r="24" spans="1:20" x14ac:dyDescent="0.25">
      <c r="A24" s="38"/>
      <c r="B24" s="4" t="s">
        <v>30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24"/>
      <c r="S24" s="14"/>
      <c r="T24" s="15"/>
    </row>
    <row r="25" spans="1:20" x14ac:dyDescent="0.25">
      <c r="A25" s="36">
        <v>7</v>
      </c>
      <c r="B25" s="4" t="s">
        <v>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24"/>
      <c r="S25" s="14"/>
      <c r="T25" s="15"/>
    </row>
    <row r="26" spans="1:20" x14ac:dyDescent="0.25">
      <c r="A26" s="37"/>
      <c r="B26" s="4" t="s">
        <v>12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24"/>
      <c r="S26" s="14"/>
      <c r="T26" s="15"/>
    </row>
    <row r="27" spans="1:20" x14ac:dyDescent="0.25">
      <c r="A27" s="38"/>
      <c r="B27" s="4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24"/>
      <c r="S27" s="14"/>
      <c r="T27" s="15"/>
    </row>
    <row r="28" spans="1:20" x14ac:dyDescent="0.25">
      <c r="A28" s="36">
        <v>8</v>
      </c>
      <c r="B28" s="4" t="s">
        <v>6</v>
      </c>
      <c r="C28" s="14"/>
      <c r="D28" s="14"/>
      <c r="E28" s="14"/>
      <c r="F28" s="30"/>
      <c r="G28" s="30"/>
      <c r="H28" s="14"/>
      <c r="I28" s="14"/>
      <c r="J28" s="14"/>
      <c r="K28" s="14"/>
      <c r="L28" s="14"/>
      <c r="M28" s="14"/>
      <c r="N28" s="14"/>
      <c r="O28" s="14"/>
      <c r="P28" s="14"/>
      <c r="Q28" s="24"/>
      <c r="R28" s="24"/>
      <c r="S28" s="24"/>
      <c r="T28" s="15"/>
    </row>
    <row r="29" spans="1:20" x14ac:dyDescent="0.25">
      <c r="A29" s="37"/>
      <c r="B29" s="4" t="s">
        <v>12</v>
      </c>
      <c r="C29" s="14"/>
      <c r="D29" s="14"/>
      <c r="E29" s="14"/>
      <c r="F29" s="30"/>
      <c r="G29" s="30"/>
      <c r="H29" s="14"/>
      <c r="I29" s="14"/>
      <c r="J29" s="14"/>
      <c r="K29" s="14"/>
      <c r="L29" s="14"/>
      <c r="M29" s="14"/>
      <c r="N29" s="14"/>
      <c r="O29" s="14"/>
      <c r="P29" s="14"/>
      <c r="Q29" s="24"/>
      <c r="R29" s="24"/>
      <c r="S29" s="24"/>
      <c r="T29" s="15"/>
    </row>
    <row r="30" spans="1:20" x14ac:dyDescent="0.25">
      <c r="A30" s="38"/>
      <c r="B30" s="4" t="s">
        <v>30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24"/>
      <c r="S30" s="14"/>
      <c r="T30" s="15"/>
    </row>
    <row r="31" spans="1:20" x14ac:dyDescent="0.25">
      <c r="A31" s="36">
        <v>9</v>
      </c>
      <c r="B31" s="4" t="s">
        <v>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24"/>
      <c r="S31" s="14"/>
      <c r="T31" s="15"/>
    </row>
    <row r="32" spans="1:20" x14ac:dyDescent="0.25">
      <c r="A32" s="37"/>
      <c r="B32" s="4" t="s">
        <v>12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24"/>
      <c r="S32" s="14"/>
      <c r="T32" s="15"/>
    </row>
    <row r="33" spans="1:38" x14ac:dyDescent="0.25">
      <c r="A33" s="38"/>
      <c r="B33" s="4" t="s">
        <v>30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4"/>
      <c r="S33" s="24"/>
      <c r="T33" s="15"/>
    </row>
    <row r="34" spans="1:38" x14ac:dyDescent="0.25">
      <c r="A34" s="42">
        <v>10</v>
      </c>
      <c r="B34" s="4" t="s">
        <v>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24"/>
      <c r="S34" s="14"/>
      <c r="T34" s="15"/>
    </row>
    <row r="35" spans="1:38" x14ac:dyDescent="0.25">
      <c r="A35" s="43"/>
      <c r="B35" s="4" t="s">
        <v>12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24"/>
      <c r="S35" s="14"/>
      <c r="T35" s="15"/>
    </row>
    <row r="36" spans="1:38" x14ac:dyDescent="0.25">
      <c r="A36" s="44"/>
      <c r="B36" s="4" t="s">
        <v>30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24"/>
      <c r="S36" s="14"/>
      <c r="T36" s="15"/>
    </row>
    <row r="37" spans="1:38" x14ac:dyDescent="0.25">
      <c r="A37" s="42">
        <v>11</v>
      </c>
      <c r="B37" s="4" t="s">
        <v>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4"/>
      <c r="S37" s="14"/>
      <c r="T37" s="15"/>
    </row>
    <row r="38" spans="1:38" x14ac:dyDescent="0.25">
      <c r="A38" s="43"/>
      <c r="B38" s="4" t="s">
        <v>12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24"/>
      <c r="S38" s="14"/>
      <c r="T38" s="15"/>
    </row>
    <row r="39" spans="1:38" x14ac:dyDescent="0.25">
      <c r="A39" s="44"/>
      <c r="B39" s="4" t="s">
        <v>30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24"/>
      <c r="S39" s="14"/>
      <c r="T39" s="15"/>
    </row>
    <row r="40" spans="1:38" x14ac:dyDescent="0.25">
      <c r="A40" s="36">
        <v>12</v>
      </c>
      <c r="B40" s="4" t="s">
        <v>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24"/>
      <c r="S40" s="14"/>
      <c r="T40" s="15"/>
    </row>
    <row r="41" spans="1:38" x14ac:dyDescent="0.25">
      <c r="A41" s="37"/>
      <c r="B41" s="4" t="s">
        <v>12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24"/>
      <c r="S41" s="14"/>
      <c r="T41" s="15"/>
    </row>
    <row r="42" spans="1:38" x14ac:dyDescent="0.25">
      <c r="A42" s="38"/>
      <c r="B42" s="4" t="s">
        <v>30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4"/>
      <c r="S42" s="14"/>
      <c r="T42" s="15"/>
    </row>
    <row r="43" spans="1:38" x14ac:dyDescent="0.25">
      <c r="A43" s="36">
        <v>13</v>
      </c>
      <c r="B43" s="4" t="s">
        <v>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4"/>
      <c r="S43" s="14"/>
      <c r="T43" s="15"/>
      <c r="AL43" s="8"/>
    </row>
    <row r="44" spans="1:38" x14ac:dyDescent="0.25">
      <c r="A44" s="37"/>
      <c r="B44" s="4" t="s">
        <v>12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24"/>
      <c r="S44" s="14"/>
      <c r="T44" s="15"/>
      <c r="AL44" s="8"/>
    </row>
    <row r="45" spans="1:38" x14ac:dyDescent="0.25">
      <c r="A45" s="38"/>
      <c r="B45" s="4" t="s">
        <v>30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24"/>
      <c r="S45" s="14"/>
      <c r="T45" s="14"/>
    </row>
    <row r="46" spans="1:38" x14ac:dyDescent="0.25">
      <c r="A46" s="36">
        <v>14</v>
      </c>
      <c r="B46" s="4" t="s">
        <v>6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24"/>
      <c r="S46" s="14"/>
      <c r="T46" s="14"/>
    </row>
    <row r="47" spans="1:38" x14ac:dyDescent="0.25">
      <c r="A47" s="37"/>
      <c r="B47" s="4" t="s">
        <v>12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24"/>
      <c r="S47" s="14"/>
      <c r="T47" s="14"/>
    </row>
    <row r="48" spans="1:38" x14ac:dyDescent="0.25">
      <c r="A48" s="38"/>
      <c r="B48" s="4" t="s">
        <v>30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24"/>
      <c r="S48" s="14"/>
      <c r="T48" s="15"/>
    </row>
    <row r="49" spans="1:23" x14ac:dyDescent="0.25">
      <c r="A49" s="36">
        <v>15</v>
      </c>
      <c r="B49" s="4" t="s">
        <v>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24"/>
      <c r="S49" s="14"/>
      <c r="T49" s="15"/>
    </row>
    <row r="50" spans="1:23" x14ac:dyDescent="0.25">
      <c r="A50" s="37"/>
      <c r="B50" s="4" t="s">
        <v>12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24"/>
      <c r="S50" s="14"/>
      <c r="T50" s="15"/>
    </row>
    <row r="51" spans="1:23" x14ac:dyDescent="0.25">
      <c r="A51" s="38"/>
      <c r="B51" s="4" t="s">
        <v>30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24"/>
      <c r="S51" s="14"/>
      <c r="T51" s="15"/>
    </row>
    <row r="52" spans="1:23" x14ac:dyDescent="0.25">
      <c r="A52" s="36">
        <v>16</v>
      </c>
      <c r="B52" s="4" t="s">
        <v>6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24"/>
      <c r="R52" s="24"/>
      <c r="S52" s="24"/>
      <c r="T52" s="15"/>
    </row>
    <row r="53" spans="1:23" x14ac:dyDescent="0.25">
      <c r="A53" s="37"/>
      <c r="B53" s="4" t="s">
        <v>12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24"/>
      <c r="R53" s="24"/>
      <c r="S53" s="24"/>
      <c r="T53" s="15"/>
    </row>
    <row r="54" spans="1:23" x14ac:dyDescent="0.25">
      <c r="A54" s="38"/>
      <c r="B54" s="4" t="s">
        <v>30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24"/>
      <c r="S54" s="14"/>
      <c r="T54" s="15"/>
    </row>
    <row r="55" spans="1:23" x14ac:dyDescent="0.25">
      <c r="A55" s="42">
        <v>17</v>
      </c>
      <c r="B55" s="4" t="s">
        <v>6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24"/>
      <c r="S55" s="14"/>
      <c r="T55" s="15"/>
    </row>
    <row r="56" spans="1:23" x14ac:dyDescent="0.25">
      <c r="A56" s="43"/>
      <c r="B56" s="4" t="s">
        <v>12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24"/>
      <c r="S56" s="14"/>
      <c r="T56" s="15"/>
    </row>
    <row r="57" spans="1:23" x14ac:dyDescent="0.25">
      <c r="A57" s="44"/>
      <c r="B57" s="4" t="s">
        <v>30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24"/>
      <c r="S57" s="14"/>
      <c r="T57" s="15"/>
    </row>
    <row r="58" spans="1:23" x14ac:dyDescent="0.25">
      <c r="A58" s="42">
        <v>18</v>
      </c>
      <c r="B58" s="4" t="s">
        <v>6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24"/>
      <c r="S58" s="14"/>
      <c r="T58" s="15"/>
    </row>
    <row r="59" spans="1:23" x14ac:dyDescent="0.25">
      <c r="A59" s="43"/>
      <c r="B59" s="4" t="s">
        <v>12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24"/>
      <c r="S59" s="14"/>
      <c r="T59" s="15"/>
    </row>
    <row r="60" spans="1:23" x14ac:dyDescent="0.25">
      <c r="A60" s="44"/>
      <c r="B60" s="4" t="s">
        <v>30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24"/>
      <c r="S60" s="14"/>
      <c r="T60" s="15"/>
    </row>
    <row r="61" spans="1:23" x14ac:dyDescent="0.25">
      <c r="A61" s="36">
        <v>19</v>
      </c>
      <c r="B61" s="4" t="s">
        <v>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24"/>
      <c r="S61" s="24"/>
      <c r="T61" s="15"/>
    </row>
    <row r="62" spans="1:23" x14ac:dyDescent="0.25">
      <c r="A62" s="37"/>
      <c r="B62" s="4" t="s">
        <v>12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24"/>
      <c r="S62" s="24"/>
      <c r="T62" s="15"/>
    </row>
    <row r="63" spans="1:23" x14ac:dyDescent="0.25">
      <c r="A63" s="38"/>
      <c r="B63" s="4" t="s">
        <v>30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24"/>
      <c r="R63" s="24"/>
      <c r="S63" s="24"/>
      <c r="T63" s="15"/>
      <c r="U63"/>
      <c r="V63"/>
      <c r="W63"/>
    </row>
    <row r="64" spans="1:23" x14ac:dyDescent="0.25">
      <c r="A64" s="36">
        <v>20</v>
      </c>
      <c r="B64" s="4" t="s">
        <v>6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24"/>
      <c r="S64" s="14"/>
      <c r="T64" s="15"/>
      <c r="U64"/>
      <c r="V64"/>
      <c r="W64"/>
    </row>
    <row r="65" spans="1:23" x14ac:dyDescent="0.25">
      <c r="A65" s="37"/>
      <c r="B65" s="4" t="s">
        <v>12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24"/>
      <c r="S65" s="14"/>
      <c r="T65" s="15"/>
      <c r="U65"/>
      <c r="V65"/>
      <c r="W65"/>
    </row>
    <row r="66" spans="1:23" x14ac:dyDescent="0.25">
      <c r="A66" s="38"/>
      <c r="B66" s="4" t="s">
        <v>30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24"/>
      <c r="S66" s="14"/>
      <c r="T66" s="15"/>
      <c r="U66"/>
      <c r="V66"/>
      <c r="W66"/>
    </row>
    <row r="67" spans="1:23" x14ac:dyDescent="0.25">
      <c r="A67" s="36">
        <v>21</v>
      </c>
      <c r="B67" s="4" t="s">
        <v>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24"/>
      <c r="S67" s="14"/>
      <c r="T67" s="15"/>
      <c r="U67"/>
      <c r="V67"/>
      <c r="W67"/>
    </row>
    <row r="68" spans="1:23" x14ac:dyDescent="0.25">
      <c r="A68" s="37"/>
      <c r="B68" s="4" t="s">
        <v>12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24"/>
      <c r="S68" s="14"/>
      <c r="T68" s="15"/>
      <c r="U68"/>
      <c r="V68"/>
      <c r="W68"/>
    </row>
    <row r="69" spans="1:23" x14ac:dyDescent="0.25">
      <c r="A69" s="38"/>
      <c r="B69" s="4" t="s">
        <v>30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24"/>
      <c r="S69" s="14"/>
      <c r="T69" s="15"/>
      <c r="U69"/>
      <c r="V69"/>
      <c r="W69"/>
    </row>
    <row r="70" spans="1:23" x14ac:dyDescent="0.25">
      <c r="A70" s="36">
        <v>22</v>
      </c>
      <c r="B70" s="4" t="s">
        <v>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4"/>
      <c r="S70" s="14"/>
      <c r="T70" s="15"/>
      <c r="U70"/>
      <c r="V70"/>
      <c r="W70"/>
    </row>
    <row r="71" spans="1:23" x14ac:dyDescent="0.25">
      <c r="A71" s="37"/>
      <c r="B71" s="4" t="s">
        <v>12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24"/>
      <c r="S71" s="14"/>
      <c r="T71" s="15"/>
      <c r="U71"/>
      <c r="V71"/>
      <c r="W71"/>
    </row>
    <row r="72" spans="1:23" x14ac:dyDescent="0.25">
      <c r="A72" s="38"/>
      <c r="B72" s="4" t="s">
        <v>30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24"/>
      <c r="S72" s="14"/>
      <c r="T72" s="15"/>
      <c r="U72"/>
      <c r="V72"/>
      <c r="W72"/>
    </row>
    <row r="73" spans="1:23" x14ac:dyDescent="0.25">
      <c r="A73" s="36">
        <v>23</v>
      </c>
      <c r="B73" s="4" t="s">
        <v>6</v>
      </c>
      <c r="C73" s="14"/>
      <c r="D73" s="14"/>
      <c r="E73" s="14"/>
      <c r="F73" s="14"/>
      <c r="G73" s="14"/>
      <c r="H73" s="14"/>
      <c r="I73" s="14"/>
      <c r="J73" s="14"/>
      <c r="K73" s="14"/>
      <c r="L73" s="16"/>
      <c r="M73" s="16"/>
      <c r="N73" s="16"/>
      <c r="O73" s="14"/>
      <c r="P73" s="14"/>
      <c r="Q73" s="25"/>
      <c r="R73" s="24"/>
      <c r="S73" s="25"/>
      <c r="T73" s="15"/>
      <c r="U73"/>
      <c r="V73"/>
      <c r="W73"/>
    </row>
    <row r="74" spans="1:23" x14ac:dyDescent="0.25">
      <c r="A74" s="37"/>
      <c r="B74" s="4" t="s">
        <v>12</v>
      </c>
      <c r="C74" s="14"/>
      <c r="D74" s="14"/>
      <c r="E74" s="14"/>
      <c r="F74" s="14"/>
      <c r="G74" s="14"/>
      <c r="H74" s="14"/>
      <c r="I74" s="14"/>
      <c r="J74" s="14"/>
      <c r="K74" s="14"/>
      <c r="L74" s="16"/>
      <c r="M74" s="16"/>
      <c r="N74" s="16"/>
      <c r="O74" s="14"/>
      <c r="P74" s="14"/>
      <c r="Q74" s="25"/>
      <c r="R74" s="24"/>
      <c r="S74" s="25"/>
      <c r="T74" s="15"/>
      <c r="U74"/>
      <c r="V74"/>
      <c r="W74"/>
    </row>
    <row r="75" spans="1:23" x14ac:dyDescent="0.25">
      <c r="A75" s="38"/>
      <c r="B75" s="4" t="s">
        <v>30</v>
      </c>
      <c r="C75" s="14"/>
      <c r="D75" s="14"/>
      <c r="E75" s="14"/>
      <c r="F75" s="14"/>
      <c r="G75" s="14"/>
      <c r="H75" s="14"/>
      <c r="I75" s="14"/>
      <c r="J75" s="14"/>
      <c r="K75" s="14"/>
      <c r="L75" s="16"/>
      <c r="M75" s="16"/>
      <c r="N75" s="16"/>
      <c r="O75" s="14"/>
      <c r="P75" s="14"/>
      <c r="Q75" s="25"/>
      <c r="R75" s="24"/>
      <c r="S75" s="25"/>
      <c r="T75" s="15"/>
      <c r="U75"/>
      <c r="V75"/>
      <c r="W75"/>
    </row>
    <row r="76" spans="1:23" x14ac:dyDescent="0.25">
      <c r="A76" s="42">
        <v>24</v>
      </c>
      <c r="B76" s="4" t="s">
        <v>6</v>
      </c>
      <c r="C76" s="14"/>
      <c r="D76" s="14"/>
      <c r="E76" s="14"/>
      <c r="F76" s="14"/>
      <c r="G76" s="14"/>
      <c r="H76" s="14"/>
      <c r="I76" s="14"/>
      <c r="J76" s="14"/>
      <c r="K76" s="14"/>
      <c r="L76" s="16"/>
      <c r="M76" s="16"/>
      <c r="N76" s="16"/>
      <c r="O76" s="14"/>
      <c r="P76" s="14"/>
      <c r="Q76" s="25"/>
      <c r="R76" s="24"/>
      <c r="S76" s="25"/>
      <c r="T76" s="15"/>
    </row>
    <row r="77" spans="1:23" x14ac:dyDescent="0.25">
      <c r="A77" s="43"/>
      <c r="B77" s="4" t="s">
        <v>12</v>
      </c>
      <c r="C77" s="14"/>
      <c r="D77" s="14"/>
      <c r="E77" s="14"/>
      <c r="F77" s="14"/>
      <c r="G77" s="14"/>
      <c r="H77" s="14"/>
      <c r="I77" s="14"/>
      <c r="J77" s="14"/>
      <c r="K77" s="14"/>
      <c r="L77" s="16"/>
      <c r="M77" s="16"/>
      <c r="N77" s="16"/>
      <c r="O77" s="14"/>
      <c r="P77" s="14"/>
      <c r="Q77" s="25"/>
      <c r="R77" s="24"/>
      <c r="S77" s="25"/>
      <c r="T77" s="15"/>
    </row>
    <row r="78" spans="1:23" x14ac:dyDescent="0.25">
      <c r="A78" s="44"/>
      <c r="B78" s="4" t="s">
        <v>30</v>
      </c>
      <c r="C78" s="14"/>
      <c r="D78" s="14"/>
      <c r="E78" s="14"/>
      <c r="F78" s="14"/>
      <c r="G78" s="14"/>
      <c r="H78" s="14"/>
      <c r="I78" s="14"/>
      <c r="J78" s="14"/>
      <c r="K78" s="14"/>
      <c r="L78" s="16"/>
      <c r="M78" s="16"/>
      <c r="N78" s="16"/>
      <c r="O78" s="14"/>
      <c r="P78" s="14"/>
      <c r="Q78" s="25"/>
      <c r="R78" s="24"/>
      <c r="S78" s="25"/>
      <c r="T78" s="15"/>
    </row>
    <row r="79" spans="1:23" x14ac:dyDescent="0.25">
      <c r="A79" s="42">
        <v>25</v>
      </c>
      <c r="B79" s="4" t="s">
        <v>6</v>
      </c>
      <c r="C79" s="14"/>
      <c r="D79" s="14"/>
      <c r="E79" s="14"/>
      <c r="F79" s="14"/>
      <c r="G79" s="14"/>
      <c r="H79" s="14"/>
      <c r="I79" s="14"/>
      <c r="J79" s="14"/>
      <c r="K79" s="14"/>
      <c r="L79" s="16"/>
      <c r="M79" s="16"/>
      <c r="N79" s="16"/>
      <c r="O79" s="14"/>
      <c r="P79" s="14"/>
      <c r="Q79" s="25"/>
      <c r="R79" s="24"/>
      <c r="S79" s="25"/>
      <c r="T79" s="15"/>
    </row>
    <row r="80" spans="1:23" x14ac:dyDescent="0.25">
      <c r="A80" s="43"/>
      <c r="B80" s="4" t="s">
        <v>12</v>
      </c>
      <c r="C80" s="14"/>
      <c r="D80" s="14"/>
      <c r="E80" s="14"/>
      <c r="F80" s="14"/>
      <c r="G80" s="14"/>
      <c r="H80" s="14"/>
      <c r="I80" s="14"/>
      <c r="J80" s="14"/>
      <c r="K80" s="14"/>
      <c r="L80" s="16"/>
      <c r="M80" s="16"/>
      <c r="N80" s="16"/>
      <c r="O80" s="14"/>
      <c r="P80" s="14"/>
      <c r="Q80" s="25"/>
      <c r="R80" s="24"/>
      <c r="S80" s="25"/>
      <c r="T80" s="15"/>
    </row>
    <row r="81" spans="1:20" x14ac:dyDescent="0.25">
      <c r="A81" s="44"/>
      <c r="B81" s="4" t="s">
        <v>30</v>
      </c>
      <c r="C81" s="14"/>
      <c r="D81" s="14"/>
      <c r="E81" s="14"/>
      <c r="F81" s="14"/>
      <c r="G81" s="14"/>
      <c r="H81" s="14"/>
      <c r="I81" s="14"/>
      <c r="J81" s="14"/>
      <c r="K81" s="14"/>
      <c r="L81" s="16"/>
      <c r="M81" s="16"/>
      <c r="N81" s="16"/>
      <c r="O81" s="14"/>
      <c r="P81" s="14"/>
      <c r="Q81" s="25"/>
      <c r="R81" s="24"/>
      <c r="S81" s="25"/>
      <c r="T81" s="15"/>
    </row>
    <row r="82" spans="1:20" x14ac:dyDescent="0.25">
      <c r="A82" s="42">
        <v>26</v>
      </c>
      <c r="B82" s="4" t="s">
        <v>6</v>
      </c>
      <c r="C82" s="14"/>
      <c r="D82" s="14"/>
      <c r="E82" s="14"/>
      <c r="F82" s="14"/>
      <c r="G82" s="14"/>
      <c r="H82" s="14"/>
      <c r="I82" s="14"/>
      <c r="J82" s="14"/>
      <c r="K82" s="14"/>
      <c r="L82" s="16"/>
      <c r="M82" s="16"/>
      <c r="N82" s="16"/>
      <c r="O82" s="14"/>
      <c r="P82" s="14"/>
      <c r="Q82" s="25"/>
      <c r="R82" s="24"/>
      <c r="S82" s="25"/>
      <c r="T82" s="15"/>
    </row>
    <row r="83" spans="1:20" x14ac:dyDescent="0.25">
      <c r="A83" s="43"/>
      <c r="B83" s="4" t="s">
        <v>12</v>
      </c>
      <c r="C83" s="14"/>
      <c r="D83" s="14"/>
      <c r="E83" s="14"/>
      <c r="F83" s="14"/>
      <c r="G83" s="14"/>
      <c r="H83" s="14"/>
      <c r="I83" s="14"/>
      <c r="J83" s="14"/>
      <c r="K83" s="14"/>
      <c r="L83" s="16"/>
      <c r="M83" s="16"/>
      <c r="N83" s="16"/>
      <c r="O83" s="14"/>
      <c r="P83" s="14"/>
      <c r="Q83" s="25"/>
      <c r="R83" s="24"/>
      <c r="S83" s="25"/>
      <c r="T83" s="15"/>
    </row>
    <row r="84" spans="1:20" x14ac:dyDescent="0.25">
      <c r="A84" s="44"/>
      <c r="B84" s="4" t="s">
        <v>30</v>
      </c>
      <c r="C84" s="14"/>
      <c r="D84" s="14"/>
      <c r="E84" s="14"/>
      <c r="F84" s="14"/>
      <c r="G84" s="14"/>
      <c r="H84" s="14"/>
      <c r="I84" s="14"/>
      <c r="J84" s="14"/>
      <c r="K84" s="14"/>
      <c r="L84" s="16"/>
      <c r="M84" s="16"/>
      <c r="N84" s="16"/>
      <c r="O84" s="14"/>
      <c r="P84" s="14"/>
      <c r="Q84" s="25"/>
      <c r="R84" s="24"/>
      <c r="S84" s="25"/>
      <c r="T84" s="15"/>
    </row>
    <row r="85" spans="1:20" x14ac:dyDescent="0.25">
      <c r="A85" s="42">
        <v>27</v>
      </c>
      <c r="B85" s="4" t="s">
        <v>6</v>
      </c>
      <c r="C85" s="14"/>
      <c r="D85" s="14"/>
      <c r="E85" s="14"/>
      <c r="F85" s="14"/>
      <c r="G85" s="14"/>
      <c r="H85" s="14"/>
      <c r="I85" s="14"/>
      <c r="J85" s="14"/>
      <c r="K85" s="14"/>
      <c r="L85" s="16"/>
      <c r="M85" s="16"/>
      <c r="N85" s="16"/>
      <c r="O85" s="14"/>
      <c r="P85" s="14"/>
      <c r="Q85" s="25"/>
      <c r="R85" s="24"/>
      <c r="S85" s="25"/>
      <c r="T85" s="15"/>
    </row>
    <row r="86" spans="1:20" x14ac:dyDescent="0.25">
      <c r="A86" s="43"/>
      <c r="B86" s="4" t="s">
        <v>12</v>
      </c>
      <c r="C86" s="14"/>
      <c r="D86" s="14"/>
      <c r="E86" s="14"/>
      <c r="F86" s="14"/>
      <c r="G86" s="14"/>
      <c r="H86" s="14"/>
      <c r="I86" s="14"/>
      <c r="J86" s="14"/>
      <c r="K86" s="14"/>
      <c r="L86" s="16"/>
      <c r="M86" s="16"/>
      <c r="N86" s="16"/>
      <c r="O86" s="14"/>
      <c r="P86" s="14"/>
      <c r="Q86" s="25"/>
      <c r="R86" s="24"/>
      <c r="S86" s="25"/>
      <c r="T86" s="15"/>
    </row>
    <row r="87" spans="1:20" x14ac:dyDescent="0.25">
      <c r="A87" s="44"/>
      <c r="B87" s="4" t="s">
        <v>30</v>
      </c>
      <c r="C87" s="14"/>
      <c r="D87" s="14"/>
      <c r="E87" s="14"/>
      <c r="F87" s="14"/>
      <c r="G87" s="14"/>
      <c r="H87" s="14"/>
      <c r="I87" s="14"/>
      <c r="J87" s="14"/>
      <c r="K87" s="14"/>
      <c r="L87" s="16"/>
      <c r="M87" s="16"/>
      <c r="N87" s="16"/>
      <c r="O87" s="14"/>
      <c r="P87" s="14"/>
      <c r="Q87" s="25"/>
      <c r="R87" s="24"/>
      <c r="S87" s="25"/>
      <c r="T87" s="15"/>
    </row>
    <row r="88" spans="1:20" x14ac:dyDescent="0.25">
      <c r="A88" s="42">
        <v>28</v>
      </c>
      <c r="B88" s="4" t="s">
        <v>6</v>
      </c>
      <c r="C88" s="14"/>
      <c r="D88" s="14"/>
      <c r="E88" s="14"/>
      <c r="F88" s="14"/>
      <c r="G88" s="14"/>
      <c r="H88" s="14"/>
      <c r="I88" s="14"/>
      <c r="J88" s="14"/>
      <c r="K88" s="14"/>
      <c r="L88" s="16"/>
      <c r="M88" s="16"/>
      <c r="N88" s="16"/>
      <c r="O88" s="14"/>
      <c r="P88" s="14"/>
      <c r="Q88" s="25"/>
      <c r="R88" s="24"/>
      <c r="S88" s="25"/>
      <c r="T88" s="15"/>
    </row>
    <row r="89" spans="1:20" x14ac:dyDescent="0.25">
      <c r="A89" s="43"/>
      <c r="B89" s="4" t="s">
        <v>12</v>
      </c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6"/>
      <c r="N89" s="16"/>
      <c r="O89" s="14"/>
      <c r="P89" s="14"/>
      <c r="Q89" s="25"/>
      <c r="R89" s="24"/>
      <c r="S89" s="25"/>
      <c r="T89" s="15"/>
    </row>
    <row r="90" spans="1:20" x14ac:dyDescent="0.25">
      <c r="A90" s="44"/>
      <c r="B90" s="4" t="s">
        <v>30</v>
      </c>
      <c r="C90" s="14"/>
      <c r="D90" s="14"/>
      <c r="E90" s="14"/>
      <c r="F90" s="14"/>
      <c r="G90" s="14"/>
      <c r="H90" s="14"/>
      <c r="I90" s="14"/>
      <c r="J90" s="14"/>
      <c r="K90" s="14"/>
      <c r="L90" s="16"/>
      <c r="M90" s="16"/>
      <c r="N90" s="16"/>
      <c r="O90" s="14"/>
      <c r="P90" s="14"/>
      <c r="Q90" s="25"/>
      <c r="R90" s="24"/>
      <c r="S90" s="25"/>
      <c r="T90" s="15"/>
    </row>
    <row r="91" spans="1:20" x14ac:dyDescent="0.25">
      <c r="A91" s="36">
        <v>29</v>
      </c>
      <c r="B91" s="4" t="s">
        <v>6</v>
      </c>
      <c r="C91" s="14"/>
      <c r="D91" s="14"/>
      <c r="E91" s="14"/>
      <c r="F91" s="14"/>
      <c r="G91" s="14"/>
      <c r="H91" s="14"/>
      <c r="I91" s="14"/>
      <c r="J91" s="14"/>
      <c r="K91" s="14"/>
      <c r="L91" s="16"/>
      <c r="M91" s="16"/>
      <c r="N91" s="16"/>
      <c r="O91" s="14"/>
      <c r="P91" s="14"/>
      <c r="Q91" s="25"/>
      <c r="R91" s="24"/>
      <c r="S91" s="25"/>
      <c r="T91" s="15"/>
    </row>
    <row r="92" spans="1:20" x14ac:dyDescent="0.25">
      <c r="A92" s="37"/>
      <c r="B92" s="4" t="s">
        <v>12</v>
      </c>
      <c r="C92" s="14"/>
      <c r="D92" s="14"/>
      <c r="E92" s="14"/>
      <c r="F92" s="14"/>
      <c r="G92" s="14"/>
      <c r="H92" s="14"/>
      <c r="I92" s="14"/>
      <c r="J92" s="14"/>
      <c r="K92" s="14"/>
      <c r="L92" s="16"/>
      <c r="M92" s="16"/>
      <c r="N92" s="16"/>
      <c r="O92" s="14"/>
      <c r="P92" s="14"/>
      <c r="Q92" s="25"/>
      <c r="R92" s="24"/>
      <c r="S92" s="25"/>
      <c r="T92" s="15"/>
    </row>
    <row r="93" spans="1:20" x14ac:dyDescent="0.25">
      <c r="A93" s="38"/>
      <c r="B93" s="4" t="s">
        <v>30</v>
      </c>
      <c r="C93" s="14"/>
      <c r="D93" s="14"/>
      <c r="E93" s="14"/>
      <c r="F93" s="14"/>
      <c r="G93" s="14"/>
      <c r="H93" s="14"/>
      <c r="I93" s="14"/>
      <c r="J93" s="14"/>
      <c r="K93" s="14"/>
      <c r="L93" s="16"/>
      <c r="M93" s="16"/>
      <c r="N93" s="16"/>
      <c r="O93" s="14"/>
      <c r="P93" s="14"/>
      <c r="Q93" s="25"/>
      <c r="R93" s="24"/>
      <c r="S93" s="25"/>
      <c r="T93" s="15"/>
    </row>
    <row r="94" spans="1:20" x14ac:dyDescent="0.25">
      <c r="A94" s="36">
        <v>30</v>
      </c>
      <c r="B94" s="4" t="s">
        <v>6</v>
      </c>
      <c r="C94" s="14"/>
      <c r="D94" s="13"/>
      <c r="E94" s="14"/>
      <c r="F94" s="14"/>
      <c r="G94" s="13"/>
      <c r="H94" s="14"/>
      <c r="I94" s="14"/>
      <c r="J94" s="14"/>
      <c r="K94" s="14"/>
      <c r="L94" s="16"/>
      <c r="M94" s="16"/>
      <c r="N94" s="16"/>
      <c r="O94" s="14"/>
      <c r="P94" s="14"/>
      <c r="Q94" s="25"/>
      <c r="R94" s="24"/>
      <c r="S94" s="25"/>
      <c r="T94" s="13"/>
    </row>
    <row r="95" spans="1:20" x14ac:dyDescent="0.25">
      <c r="A95" s="37"/>
      <c r="B95" s="4" t="s">
        <v>12</v>
      </c>
      <c r="C95" s="14"/>
      <c r="D95" s="13"/>
      <c r="E95" s="14"/>
      <c r="F95" s="14"/>
      <c r="G95" s="13"/>
      <c r="H95" s="14"/>
      <c r="I95" s="14"/>
      <c r="J95" s="14"/>
      <c r="K95" s="14"/>
      <c r="L95" s="16"/>
      <c r="M95" s="16"/>
      <c r="N95" s="16"/>
      <c r="O95" s="14"/>
      <c r="P95" s="14"/>
      <c r="Q95" s="25"/>
      <c r="R95" s="24"/>
      <c r="S95" s="25"/>
      <c r="T95" s="13"/>
    </row>
    <row r="96" spans="1:20" x14ac:dyDescent="0.25">
      <c r="A96" s="38"/>
      <c r="B96" s="4" t="s">
        <v>30</v>
      </c>
      <c r="C96" s="14"/>
      <c r="D96" s="13"/>
      <c r="E96" s="14"/>
      <c r="F96" s="14"/>
      <c r="G96" s="13"/>
      <c r="H96" s="14"/>
      <c r="I96" s="14"/>
      <c r="J96" s="14"/>
      <c r="K96" s="14"/>
      <c r="L96" s="16"/>
      <c r="M96" s="16"/>
      <c r="N96" s="16"/>
      <c r="O96" s="14"/>
      <c r="P96" s="14"/>
      <c r="Q96" s="25"/>
      <c r="R96" s="24"/>
      <c r="S96" s="25"/>
      <c r="T96" s="13"/>
    </row>
    <row r="97" spans="1:20" x14ac:dyDescent="0.25">
      <c r="A97" s="36">
        <v>31</v>
      </c>
      <c r="B97" s="4" t="s">
        <v>6</v>
      </c>
      <c r="C97" s="14"/>
      <c r="D97" s="14"/>
      <c r="E97" s="14"/>
      <c r="F97" s="14"/>
      <c r="G97" s="14"/>
      <c r="H97" s="14"/>
      <c r="I97" s="14"/>
      <c r="J97" s="14"/>
      <c r="K97" s="14"/>
      <c r="L97" s="16"/>
      <c r="M97" s="16"/>
      <c r="N97" s="16"/>
      <c r="O97" s="14"/>
      <c r="P97" s="14"/>
      <c r="Q97" s="25"/>
      <c r="R97" s="24"/>
      <c r="S97" s="25"/>
      <c r="T97" s="15"/>
    </row>
    <row r="98" spans="1:20" x14ac:dyDescent="0.25">
      <c r="A98" s="37"/>
      <c r="B98" s="4" t="s">
        <v>12</v>
      </c>
      <c r="C98" s="14"/>
      <c r="D98" s="14"/>
      <c r="E98" s="14"/>
      <c r="F98" s="14"/>
      <c r="G98" s="14"/>
      <c r="H98" s="14"/>
      <c r="I98" s="14"/>
      <c r="J98" s="14"/>
      <c r="K98" s="14"/>
      <c r="L98" s="16"/>
      <c r="M98" s="16"/>
      <c r="N98" s="16"/>
      <c r="O98" s="14"/>
      <c r="P98" s="14"/>
      <c r="Q98" s="25"/>
      <c r="R98" s="24"/>
      <c r="S98" s="25"/>
      <c r="T98" s="15"/>
    </row>
    <row r="99" spans="1:20" x14ac:dyDescent="0.25">
      <c r="A99" s="38"/>
      <c r="B99" s="4" t="s">
        <v>30</v>
      </c>
      <c r="C99" s="14"/>
      <c r="D99" s="14"/>
      <c r="E99" s="14"/>
      <c r="F99" s="14"/>
      <c r="G99" s="14"/>
      <c r="H99" s="14"/>
      <c r="I99" s="14"/>
      <c r="J99" s="14"/>
      <c r="K99" s="14"/>
      <c r="L99" s="16"/>
      <c r="M99" s="16"/>
      <c r="N99" s="16"/>
      <c r="O99" s="14"/>
      <c r="P99" s="14"/>
      <c r="Q99" s="25"/>
      <c r="R99" s="24"/>
      <c r="S99" s="25"/>
      <c r="T99" s="15"/>
    </row>
    <row r="100" spans="1:20" ht="15" customHeight="1" x14ac:dyDescent="0.25">
      <c r="C100" s="39" t="s">
        <v>28</v>
      </c>
      <c r="D100" s="39"/>
      <c r="E100" s="15">
        <f>SUM(E7:E99)</f>
        <v>0</v>
      </c>
      <c r="F100" s="17"/>
      <c r="G100" s="17"/>
      <c r="H100" s="18">
        <f>SUM(H7:H99)</f>
        <v>0</v>
      </c>
      <c r="I100" s="19">
        <f>SUM(I8:I99)</f>
        <v>0</v>
      </c>
      <c r="J100" s="20">
        <f>SUM(J8:J99)</f>
        <v>0</v>
      </c>
      <c r="K100" s="21">
        <f>SUM(K8:K99)</f>
        <v>0</v>
      </c>
      <c r="L100" s="17"/>
      <c r="M100" s="17"/>
      <c r="N100" s="17"/>
      <c r="O100" s="17"/>
      <c r="P100" s="17"/>
      <c r="Q100" s="26"/>
      <c r="R100" s="26"/>
      <c r="S100" s="26"/>
      <c r="T100" s="17"/>
    </row>
    <row r="101" spans="1:20" x14ac:dyDescent="0.25">
      <c r="C101" s="40" t="s">
        <v>29</v>
      </c>
      <c r="D101" s="41"/>
      <c r="E101" s="14" t="e">
        <f>AVERAGE(E8:E99)</f>
        <v>#DIV/0!</v>
      </c>
      <c r="F101" s="17"/>
      <c r="G101" s="22"/>
      <c r="H101" s="14" t="e">
        <f>AVERAGE(H8:H99)</f>
        <v>#DIV/0!</v>
      </c>
      <c r="I101" s="14" t="e">
        <f t="shared" ref="I101:S101" si="0">AVERAGE(I8:I99)</f>
        <v>#DIV/0!</v>
      </c>
      <c r="J101" s="14" t="e">
        <f t="shared" si="0"/>
        <v>#DIV/0!</v>
      </c>
      <c r="K101" s="14" t="e">
        <f t="shared" si="0"/>
        <v>#DIV/0!</v>
      </c>
      <c r="L101" s="14" t="e">
        <f t="shared" si="0"/>
        <v>#DIV/0!</v>
      </c>
      <c r="M101" s="14" t="e">
        <f t="shared" si="0"/>
        <v>#DIV/0!</v>
      </c>
      <c r="N101" s="14" t="e">
        <f t="shared" si="0"/>
        <v>#DIV/0!</v>
      </c>
      <c r="O101" s="14" t="e">
        <f t="shared" si="0"/>
        <v>#DIV/0!</v>
      </c>
      <c r="P101" s="14" t="e">
        <f t="shared" si="0"/>
        <v>#DIV/0!</v>
      </c>
      <c r="Q101" s="24" t="e">
        <f t="shared" si="0"/>
        <v>#DIV/0!</v>
      </c>
      <c r="R101" s="24" t="e">
        <f t="shared" si="0"/>
        <v>#DIV/0!</v>
      </c>
      <c r="S101" s="24" t="e">
        <f t="shared" si="0"/>
        <v>#DIV/0!</v>
      </c>
      <c r="T101" s="17"/>
    </row>
    <row r="102" spans="1:20" ht="30" x14ac:dyDescent="0.25">
      <c r="E102" s="9" t="s">
        <v>0</v>
      </c>
      <c r="H102" s="9" t="s">
        <v>15</v>
      </c>
      <c r="I102" s="10" t="s">
        <v>26</v>
      </c>
      <c r="J102" s="4" t="s">
        <v>9</v>
      </c>
      <c r="K102" s="10" t="s">
        <v>7</v>
      </c>
      <c r="L102" s="11" t="s">
        <v>14</v>
      </c>
      <c r="M102" s="4" t="s">
        <v>15</v>
      </c>
      <c r="N102" s="4" t="s">
        <v>16</v>
      </c>
      <c r="O102" s="11" t="s">
        <v>14</v>
      </c>
      <c r="P102" s="4" t="s">
        <v>15</v>
      </c>
      <c r="Q102" s="11" t="s">
        <v>14</v>
      </c>
      <c r="R102" s="4" t="s">
        <v>15</v>
      </c>
      <c r="S102" s="4" t="s">
        <v>16</v>
      </c>
    </row>
    <row r="103" spans="1:20" x14ac:dyDescent="0.25">
      <c r="I103" s="12"/>
      <c r="J103" s="8"/>
      <c r="K103" s="8"/>
      <c r="L103" s="33" t="s">
        <v>13</v>
      </c>
      <c r="M103" s="34"/>
      <c r="N103" s="35"/>
      <c r="O103" s="33" t="s">
        <v>21</v>
      </c>
      <c r="P103" s="34"/>
      <c r="Q103" s="33" t="s">
        <v>20</v>
      </c>
      <c r="R103" s="34"/>
      <c r="S103" s="35"/>
    </row>
    <row r="104" spans="1:20" x14ac:dyDescent="0.25">
      <c r="I104" s="12"/>
      <c r="J104" s="8"/>
      <c r="K104" s="8"/>
      <c r="L104" s="8"/>
    </row>
    <row r="105" spans="1:20" x14ac:dyDescent="0.25">
      <c r="I105" s="12"/>
      <c r="J105" s="8"/>
      <c r="K105" s="8"/>
      <c r="L105" s="8"/>
    </row>
  </sheetData>
  <mergeCells count="54">
    <mergeCell ref="A1:T3"/>
    <mergeCell ref="A4:A6"/>
    <mergeCell ref="B4:B6"/>
    <mergeCell ref="C4:E4"/>
    <mergeCell ref="F4:H4"/>
    <mergeCell ref="I4:I5"/>
    <mergeCell ref="J4:J5"/>
    <mergeCell ref="K4:K5"/>
    <mergeCell ref="L4:N4"/>
    <mergeCell ref="O4:P4"/>
    <mergeCell ref="Q4:S4"/>
    <mergeCell ref="T4:T6"/>
    <mergeCell ref="C5:E5"/>
    <mergeCell ref="F5:H5"/>
    <mergeCell ref="L5:L6"/>
    <mergeCell ref="O5:O6"/>
    <mergeCell ref="Q5:Q6"/>
    <mergeCell ref="R5:R6"/>
    <mergeCell ref="A10:A12"/>
    <mergeCell ref="A13:A15"/>
    <mergeCell ref="A16:A18"/>
    <mergeCell ref="A64:A66"/>
    <mergeCell ref="A67:A69"/>
    <mergeCell ref="A70:A72"/>
    <mergeCell ref="A73:A75"/>
    <mergeCell ref="A19:A21"/>
    <mergeCell ref="A22:A24"/>
    <mergeCell ref="A40:A42"/>
    <mergeCell ref="A25:A27"/>
    <mergeCell ref="A28:A30"/>
    <mergeCell ref="A31:A33"/>
    <mergeCell ref="A34:A36"/>
    <mergeCell ref="A37:A39"/>
    <mergeCell ref="A49:A51"/>
    <mergeCell ref="A52:A54"/>
    <mergeCell ref="A55:A57"/>
    <mergeCell ref="A58:A60"/>
    <mergeCell ref="A61:A63"/>
    <mergeCell ref="O103:P103"/>
    <mergeCell ref="Q103:S103"/>
    <mergeCell ref="A7:A9"/>
    <mergeCell ref="A94:A96"/>
    <mergeCell ref="A97:A99"/>
    <mergeCell ref="C100:D100"/>
    <mergeCell ref="C101:D101"/>
    <mergeCell ref="L103:N103"/>
    <mergeCell ref="A79:A81"/>
    <mergeCell ref="A82:A84"/>
    <mergeCell ref="A85:A87"/>
    <mergeCell ref="A88:A90"/>
    <mergeCell ref="A91:A93"/>
    <mergeCell ref="A76:A78"/>
    <mergeCell ref="A43:A45"/>
    <mergeCell ref="A46:A48"/>
  </mergeCells>
  <phoneticPr fontId="11" type="noConversion"/>
  <conditionalFormatting sqref="B7:B99">
    <cfRule type="containsText" dxfId="14" priority="9" operator="containsText" text="Boiler No.1">
      <formula>NOT(ISERROR(SEARCH("Boiler No.1",B7)))</formula>
    </cfRule>
    <cfRule type="containsText" dxfId="13" priority="10" operator="containsText" text="Boiler No.2">
      <formula>NOT(ISERROR(SEARCH("Boiler No.2",B7)))</formula>
    </cfRule>
    <cfRule type="containsText" dxfId="12" priority="11" operator="containsText" text="Not Operate">
      <formula>NOT(ISERROR(SEARCH("Not Operate",B7)))</formula>
    </cfRule>
    <cfRule type="containsText" dxfId="11" priority="16" operator="containsText" text="Night B2">
      <formula>NOT(ISERROR(SEARCH("Night B2",B7)))</formula>
    </cfRule>
    <cfRule type="containsText" dxfId="10" priority="17" operator="containsText" text="Night B2">
      <formula>NOT(ISERROR(SEARCH("Night B2",B7)))</formula>
    </cfRule>
    <cfRule type="containsText" dxfId="9" priority="18" operator="containsText" text="Night B1">
      <formula>NOT(ISERROR(SEARCH("Night B1",B7)))</formula>
    </cfRule>
    <cfRule type="containsText" dxfId="8" priority="19" operator="containsText" text="Day B2">
      <formula>NOT(ISERROR(SEARCH("Day B2",B7)))</formula>
    </cfRule>
    <cfRule type="containsText" dxfId="7" priority="20" operator="containsText" text="Day B1">
      <formula>NOT(ISERROR(SEARCH("Day B1",B7)))</formula>
    </cfRule>
    <cfRule type="containsText" dxfId="6" priority="21" operator="containsText" text="Boiler No.1">
      <formula>NOT(ISERROR(SEARCH("Boiler No.1",B7)))</formula>
    </cfRule>
    <cfRule type="containsText" dxfId="5" priority="22" operator="containsText" text="Boiler No.2">
      <formula>NOT(ISERROR(SEARCH("Boiler No.2",B7)))</formula>
    </cfRule>
    <cfRule type="containsText" dxfId="4" priority="23" operator="containsText" text="Not Operate">
      <formula>NOT(ISERROR(SEARCH("Not Operate",B7)))</formula>
    </cfRule>
  </conditionalFormatting>
  <conditionalFormatting sqref="M73:M99">
    <cfRule type="cellIs" dxfId="2" priority="1" operator="greaterThan">
      <formula>9.5</formula>
    </cfRule>
  </conditionalFormatting>
  <conditionalFormatting sqref="N73:N99">
    <cfRule type="cellIs" dxfId="1" priority="3" operator="greaterThan">
      <formula>11.8</formula>
    </cfRule>
  </conditionalFormatting>
  <conditionalFormatting sqref="S73:S99">
    <cfRule type="cellIs" dxfId="0" priority="2" operator="greaterThan">
      <formula>3500</formula>
    </cfRule>
  </conditionalFormatting>
  <dataValidations count="1">
    <dataValidation type="list" allowBlank="1" showInputMessage="1" showErrorMessage="1" sqref="B7:B99" xr:uid="{18E4A461-449F-4F48-80F4-FFA27C1A418A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" operator="containsText" id="{E795B1F6-CA6E-4200-B287-024967AC34FB}">
            <xm:f>NOT(ISERROR(SEARCH(#REF!,B7)))</xm:f>
            <xm:f>#REF!</xm:f>
            <x14:dxf>
              <font>
                <color rgb="FFFF99FF"/>
              </font>
              <fill>
                <patternFill>
                  <bgColor rgb="FFFFCCFF"/>
                </patternFill>
              </fill>
            </x14:dxf>
          </x14:cfRule>
          <xm:sqref>B7:B99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Jan' 23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Krissada Wannaso</cp:lastModifiedBy>
  <cp:lastPrinted>2022-08-17T01:39:22Z</cp:lastPrinted>
  <dcterms:created xsi:type="dcterms:W3CDTF">2020-01-07T03:54:42Z</dcterms:created>
  <dcterms:modified xsi:type="dcterms:W3CDTF">2026-02-23T07:34:13Z</dcterms:modified>
</cp:coreProperties>
</file>