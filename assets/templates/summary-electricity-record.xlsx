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eums\assets\templates\"/>
    </mc:Choice>
  </mc:AlternateContent>
  <xr:revisionPtr revIDLastSave="0" documentId="13_ncr:1_{3CB061C7-9303-48B7-B2DC-D7CAC6292AB4}" xr6:coauthVersionLast="47" xr6:coauthVersionMax="47" xr10:uidLastSave="{00000000-0000-0000-0000-000000000000}"/>
  <bookViews>
    <workbookView xWindow="-28920" yWindow="-75" windowWidth="29040" windowHeight="15720" activeTab="1" xr2:uid="{00000000-000D-0000-FFFF-FFFF00000000}"/>
  </bookViews>
  <sheets>
    <sheet name="Energy Factory 2024" sheetId="7" r:id="rId1"/>
    <sheet name="สรุปสัดส่วนพลังงาน" sheetId="6" r:id="rId2"/>
  </sheets>
  <definedNames>
    <definedName name="_xlnm.Print_Area" localSheetId="0">'Energy Factory 2024'!$A$1:$AM$48</definedName>
    <definedName name="_xlnm.Print_Area" localSheetId="1">สรุปสัดส่วนพลังงาน!$A$1:$H$13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  <c r="D24" i="7"/>
  <c r="O11" i="7" l="1"/>
  <c r="G17" i="7" l="1"/>
  <c r="G16" i="7"/>
  <c r="G18" i="7" l="1"/>
  <c r="N17" i="7" l="1"/>
  <c r="N25" i="7"/>
  <c r="N24" i="7"/>
  <c r="M24" i="7"/>
  <c r="N9" i="7"/>
  <c r="N16" i="7"/>
  <c r="M9" i="7"/>
  <c r="F25" i="6"/>
  <c r="N29" i="7" l="1"/>
  <c r="N26" i="7"/>
  <c r="N18" i="7"/>
  <c r="N28" i="7"/>
  <c r="M25" i="7"/>
  <c r="M26" i="7" s="1"/>
  <c r="M17" i="7"/>
  <c r="M29" i="7" s="1"/>
  <c r="N30" i="7" l="1"/>
  <c r="N21" i="7"/>
  <c r="N20" i="7"/>
  <c r="N22" i="7" s="1"/>
  <c r="M16" i="7"/>
  <c r="F18" i="6"/>
  <c r="L25" i="7"/>
  <c r="K25" i="7"/>
  <c r="L17" i="7"/>
  <c r="L24" i="7"/>
  <c r="L16" i="7"/>
  <c r="L9" i="7"/>
  <c r="K9" i="7"/>
  <c r="K24" i="7"/>
  <c r="K16" i="7"/>
  <c r="K17" i="7"/>
  <c r="L26" i="7" l="1"/>
  <c r="K18" i="7"/>
  <c r="K21" i="7" s="1"/>
  <c r="L29" i="7"/>
  <c r="M28" i="7"/>
  <c r="M18" i="7"/>
  <c r="M20" i="7" s="1"/>
  <c r="L28" i="7"/>
  <c r="K29" i="7"/>
  <c r="K28" i="7"/>
  <c r="L18" i="7"/>
  <c r="L20" i="7" s="1"/>
  <c r="D18" i="6"/>
  <c r="E18" i="6"/>
  <c r="K26" i="7"/>
  <c r="J24" i="7"/>
  <c r="J25" i="7"/>
  <c r="J17" i="7"/>
  <c r="J9" i="7"/>
  <c r="J16" i="7"/>
  <c r="I24" i="7"/>
  <c r="I17" i="7"/>
  <c r="I9" i="7"/>
  <c r="I16" i="7"/>
  <c r="H24" i="7"/>
  <c r="H17" i="7"/>
  <c r="H25" i="7"/>
  <c r="H16" i="7"/>
  <c r="H9" i="7"/>
  <c r="G24" i="7"/>
  <c r="G25" i="7"/>
  <c r="G9" i="7"/>
  <c r="E24" i="7"/>
  <c r="F24" i="7"/>
  <c r="D17" i="7"/>
  <c r="F17" i="7"/>
  <c r="D25" i="7"/>
  <c r="F16" i="7"/>
  <c r="F9" i="7"/>
  <c r="E16" i="7"/>
  <c r="E9" i="7"/>
  <c r="D16" i="7"/>
  <c r="D9" i="7"/>
  <c r="P11" i="7"/>
  <c r="C24" i="7"/>
  <c r="K20" i="7" l="1"/>
  <c r="K22" i="7" s="1"/>
  <c r="J26" i="7"/>
  <c r="D28" i="7"/>
  <c r="K30" i="7"/>
  <c r="L21" i="7"/>
  <c r="L22" i="7" s="1"/>
  <c r="G20" i="7"/>
  <c r="G28" i="7"/>
  <c r="G29" i="7"/>
  <c r="G21" i="7"/>
  <c r="J18" i="7"/>
  <c r="J21" i="7" s="1"/>
  <c r="J29" i="7"/>
  <c r="H18" i="7"/>
  <c r="H20" i="7" s="1"/>
  <c r="H28" i="7"/>
  <c r="J28" i="7"/>
  <c r="H29" i="7"/>
  <c r="I18" i="7"/>
  <c r="I21" i="7" s="1"/>
  <c r="I28" i="7"/>
  <c r="M30" i="7"/>
  <c r="M21" i="7"/>
  <c r="M22" i="7" s="1"/>
  <c r="P12" i="7"/>
  <c r="L30" i="7"/>
  <c r="G26" i="7"/>
  <c r="H26" i="7"/>
  <c r="O9" i="7"/>
  <c r="F25" i="7"/>
  <c r="F29" i="7" s="1"/>
  <c r="E17" i="7"/>
  <c r="E18" i="7" s="1"/>
  <c r="E20" i="7" s="1"/>
  <c r="E25" i="7"/>
  <c r="E26" i="7" s="1"/>
  <c r="F18" i="7"/>
  <c r="F20" i="7" s="1"/>
  <c r="F28" i="7"/>
  <c r="E28" i="7"/>
  <c r="D29" i="7"/>
  <c r="D26" i="7"/>
  <c r="D18" i="7"/>
  <c r="C17" i="7"/>
  <c r="P17" i="7" s="1"/>
  <c r="C7" i="6"/>
  <c r="D7" i="6" s="1"/>
  <c r="P8" i="7"/>
  <c r="O8" i="7"/>
  <c r="F6" i="6" s="1"/>
  <c r="C16" i="7"/>
  <c r="C28" i="7" s="1"/>
  <c r="P6" i="7"/>
  <c r="O6" i="7"/>
  <c r="C6" i="6" s="1"/>
  <c r="D6" i="6" s="1"/>
  <c r="H30" i="7" l="1"/>
  <c r="H21" i="7"/>
  <c r="J30" i="7"/>
  <c r="I20" i="7"/>
  <c r="I22" i="7" s="1"/>
  <c r="G30" i="7"/>
  <c r="F26" i="7"/>
  <c r="F30" i="7" s="1"/>
  <c r="J20" i="7"/>
  <c r="J22" i="7"/>
  <c r="H22" i="7"/>
  <c r="G22" i="7"/>
  <c r="E29" i="7"/>
  <c r="F21" i="7"/>
  <c r="F22" i="7" s="1"/>
  <c r="E21" i="7"/>
  <c r="E22" i="7" s="1"/>
  <c r="E30" i="7"/>
  <c r="D30" i="7"/>
  <c r="D21" i="7"/>
  <c r="D20" i="7"/>
  <c r="P7" i="7"/>
  <c r="O12" i="7"/>
  <c r="P24" i="7"/>
  <c r="O7" i="7"/>
  <c r="O24" i="7"/>
  <c r="C24" i="6" s="1"/>
  <c r="D24" i="6" s="1"/>
  <c r="D22" i="7" l="1"/>
  <c r="O17" i="7"/>
  <c r="P16" i="7"/>
  <c r="O28" i="7"/>
  <c r="C18" i="7"/>
  <c r="O16" i="7"/>
  <c r="P18" i="7" l="1"/>
  <c r="P21" i="7" s="1"/>
  <c r="C20" i="7"/>
  <c r="O18" i="7"/>
  <c r="O21" i="7" s="1"/>
  <c r="C21" i="7"/>
  <c r="P20" i="7" l="1"/>
  <c r="P22" i="7" s="1"/>
  <c r="C22" i="7"/>
  <c r="O20" i="7"/>
  <c r="O22" i="7" s="1"/>
  <c r="D8" i="6" l="1"/>
  <c r="E24" i="6" l="1"/>
  <c r="E7" i="6"/>
  <c r="E6" i="6"/>
  <c r="E8" i="6" l="1"/>
  <c r="C25" i="7" l="1"/>
  <c r="C26" i="7" l="1"/>
  <c r="C29" i="7"/>
  <c r="C30" i="7" l="1"/>
  <c r="O13" i="7"/>
  <c r="F7" i="6" s="1"/>
  <c r="I25" i="7"/>
  <c r="P13" i="7"/>
  <c r="O14" i="7"/>
  <c r="I26" i="7" l="1"/>
  <c r="P25" i="7"/>
  <c r="P26" i="7"/>
  <c r="I29" i="7"/>
  <c r="O29" i="7" s="1"/>
  <c r="C25" i="6" s="1"/>
  <c r="D25" i="6" s="1"/>
  <c r="O25" i="7"/>
  <c r="F8" i="6"/>
  <c r="I30" i="7" l="1"/>
  <c r="O30" i="7" s="1"/>
  <c r="O26" i="7"/>
  <c r="F24" i="6" s="1"/>
  <c r="E25" i="6"/>
  <c r="E26" i="6" s="1"/>
  <c r="D26" i="6"/>
  <c r="G17" i="6"/>
  <c r="G6" i="6"/>
  <c r="G25" i="6"/>
  <c r="G16" i="6"/>
  <c r="G7" i="6"/>
  <c r="G24" i="6" l="1"/>
  <c r="G26" i="6" s="1"/>
  <c r="F26" i="6"/>
  <c r="G18" i="6"/>
  <c r="G8" i="6"/>
</calcChain>
</file>

<file path=xl/sharedStrings.xml><?xml version="1.0" encoding="utf-8"?>
<sst xmlns="http://schemas.openxmlformats.org/spreadsheetml/2006/main" count="107" uniqueCount="67">
  <si>
    <t>ประเภท / เดือน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</si>
  <si>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</si>
  <si>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</si>
  <si>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</si>
  <si>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</si>
  <si>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</si>
  <si>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</si>
  <si>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</si>
  <si>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</si>
  <si>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</si>
  <si>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</si>
  <si>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</si>
  <si>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</si>
  <si>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</si>
  <si>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Ave.</t>
  </si>
  <si>
    <t>ไฟฟ้า ( Electricity ) / EE.</t>
  </si>
  <si>
    <t>EE ( KWh. )</t>
  </si>
  <si>
    <t>EE ( MJ. )</t>
  </si>
  <si>
    <t>EE ( Baht. )</t>
  </si>
  <si>
    <t>EE ( Baht. / KWh. )</t>
  </si>
  <si>
    <t>สรุปการใช้พลังงาน  ( Energy ) / MJ.</t>
  </si>
  <si>
    <t>อัตราร้อยละของการใช้พลังงาน ( Energy ) / % MJ.</t>
  </si>
  <si>
    <t>% EE ( MJ. )</t>
  </si>
  <si>
    <t>สรุปต้นทุนการใช้พลังงาน  ( Costs ) / Baht.</t>
  </si>
  <si>
    <t>ดัชนีต้นทุนการใช้พลังงาน  ( Costs per Energy ) / Baht. / MJ.</t>
  </si>
  <si>
    <t>EE ( Baht. / MJ )</t>
  </si>
  <si>
    <t>Average  ( Baht. / MJ )</t>
  </si>
  <si>
    <t>Mount</t>
  </si>
  <si>
    <t>ปริมาณ</t>
  </si>
  <si>
    <t>ค่าใช้จ่าย</t>
  </si>
  <si>
    <t>ปริมาณและหน่วย</t>
  </si>
  <si>
    <t>ค่าความร้อน (MJ)</t>
  </si>
  <si>
    <t>ร้อยละ</t>
  </si>
  <si>
    <t>บาท</t>
  </si>
  <si>
    <t>ไฟฟ้า ( kWh )</t>
  </si>
  <si>
    <t>รวม</t>
  </si>
  <si>
    <t>n/a</t>
  </si>
  <si>
    <t>GROSS 2016</t>
  </si>
  <si>
    <t>สรุปสัดส่วนปริมาณการใช้พลังงานและต้นทุนพลังงาน</t>
  </si>
  <si>
    <t>ก๊าซปิโตรเลียมเหลว  ( liquefied petroleum gas  ) / LPG</t>
  </si>
  <si>
    <t>LPG( kg. )</t>
  </si>
  <si>
    <t>LPG ( MJ. )</t>
  </si>
  <si>
    <t>LPG ( Baht. )</t>
  </si>
  <si>
    <t>LPG ( Baht. / kg. )</t>
  </si>
  <si>
    <t>EE &amp; LPG ( MJ. )</t>
  </si>
  <si>
    <t>% LPG ( MJ. )</t>
  </si>
  <si>
    <t>% EE &amp; % LPG ( MJ. )</t>
  </si>
  <si>
    <t>EE &amp; LPG ( Baht. )</t>
  </si>
  <si>
    <t>ชนิดพลังงาน/ปี 2565</t>
  </si>
  <si>
    <t>LPG( Baht. / MJ )</t>
  </si>
  <si>
    <t>เชื้อเพลิงแก๊ส
LPG ( kg )</t>
  </si>
  <si>
    <t xml:space="preserve">Summary report of Marugo Rubber (Thailand) Co., Ltd. </t>
  </si>
  <si>
    <t>ประจำเดือน มกราคม -กันยายน 2565 (Jan-Sep'2022)</t>
  </si>
  <si>
    <t>Summarize the proportion of energy consumption and energy cost.</t>
  </si>
  <si>
    <t xml:space="preserve"> January - October 2022</t>
  </si>
  <si>
    <t>Cost</t>
  </si>
  <si>
    <t>Bath</t>
  </si>
  <si>
    <t>percentage</t>
  </si>
  <si>
    <t>quantity</t>
  </si>
  <si>
    <t>quantity/Unit</t>
  </si>
  <si>
    <t>calorific value (MJ)</t>
  </si>
  <si>
    <t>Electric Power( kWh )</t>
  </si>
  <si>
    <t>Gas Fuel
LPG ( kg )</t>
  </si>
  <si>
    <t>Power Type / 2022</t>
  </si>
  <si>
    <t xml:space="preserve"> January 2023</t>
  </si>
  <si>
    <t>Power Type / 2023</t>
  </si>
  <si>
    <t>Monthly 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</si>
</sst>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#,##0.00&quot; &quot;;&quot; (&quot;#,##0.00&quot;)&quot;;&quot; -&quot;#&quot; &quot;;@&quot; &quot;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b/>
      <i/>
      <sz val="48"/>
      <color theme="1"/>
      <name val="Angsana New"/>
      <family val="1"/>
    </font>
    <font>
      <sz val="16"/>
      <color theme="1"/>
      <name val="Angsana New"/>
      <family val="1"/>
    </font>
    <font>
      <sz val="10"/>
      <name val="Arial"/>
      <family val="2"/>
    </font>
    <font>
      <sz val="11"/>
      <color rgb="FF000000"/>
      <name val="Arial1"/>
    </font>
    <font>
      <sz val="10"/>
      <name val="Arial"/>
      <family val="2"/>
      <charset val="222"/>
    </font>
    <font>
      <sz val="14"/>
      <name val="Cordia New"/>
      <family val="2"/>
    </font>
    <font>
      <sz val="18"/>
      <color theme="1"/>
      <name val="Angsana New"/>
      <family val="1"/>
    </font>
    <font>
      <sz val="12"/>
      <color rgb="FFFF0000"/>
      <name val="TH SarabunPSK"/>
      <family val="2"/>
    </font>
    <font>
      <sz val="11"/>
      <color rgb="FFFF0000"/>
      <name val="TH SarabunPSK"/>
      <family val="2"/>
    </font>
    <font>
      <b/>
      <sz val="11"/>
      <color rgb="FFFF0000"/>
      <name val="TH SarabunPSK"/>
      <family val="2"/>
    </font>
    <font>
      <b/>
      <u/>
      <sz val="11"/>
      <color rgb="FFFF0000"/>
      <name val="TH SarabunPSK"/>
      <family val="2"/>
    </font>
    <font>
      <sz val="22"/>
      <color theme="1"/>
      <name val="Angsana New"/>
      <family val="1"/>
    </font>
    <font>
      <b/>
      <sz val="18"/>
      <name val="Angsana New"/>
      <family val="1"/>
    </font>
    <font>
      <sz val="18"/>
      <name val="Angsana New"/>
      <family val="1"/>
    </font>
    <font>
      <sz val="18"/>
      <color rgb="FF0000FF"/>
      <name val="Angsana New"/>
      <family val="1"/>
    </font>
    <font>
      <sz val="20"/>
      <name val="Angsana New"/>
      <family val="1"/>
    </font>
    <font>
      <sz val="20"/>
      <color rgb="FF0000FF"/>
      <name val="Angsana New"/>
      <family val="1"/>
    </font>
    <font>
      <b/>
      <sz val="22"/>
      <name val="Angsana New"/>
      <family val="1"/>
    </font>
    <font>
      <b/>
      <sz val="24"/>
      <name val="Angsana New"/>
      <family val="1"/>
    </font>
    <font>
      <sz val="24"/>
      <color theme="1"/>
      <name val="Angsana New"/>
      <family val="1"/>
    </font>
    <font>
      <b/>
      <sz val="24"/>
      <color rgb="FF0000FF"/>
      <name val="Angsana New"/>
      <family val="1"/>
    </font>
    <font>
      <sz val="22"/>
      <name val="Angsana New"/>
      <family val="1"/>
    </font>
    <font>
      <b/>
      <sz val="16"/>
      <name val="Angsana New"/>
      <family val="1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4A442A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91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7" fillId="0" borderId="0" applyFont="0" applyBorder="0" applyProtection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9" fillId="0" borderId="0"/>
    <xf numFmtId="9" fontId="6" fillId="0" borderId="0" applyFont="0" applyFill="0" applyBorder="0" applyAlignment="0" applyProtection="0"/>
    <xf numFmtId="0" fontId="27" fillId="0" borderId="0"/>
  </cellStyleXfs>
  <cellXfs count="59">
    <xf numFmtId="0" fontId="0" fillId="0" borderId="0" xfId="0"/>
    <xf numFmtId="0" fontId="3" fillId="2" borderId="0" xfId="0" applyFont="1" applyFill="1"/>
    <xf numFmtId="0" fontId="3" fillId="0" borderId="0" xfId="0" applyFont="1"/>
    <xf numFmtId="0" fontId="5" fillId="2" borderId="0" xfId="0" applyFont="1" applyFill="1"/>
    <xf numFmtId="0" fontId="5" fillId="0" borderId="0" xfId="0" applyFont="1"/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4" fontId="10" fillId="0" borderId="1" xfId="1" applyFont="1" applyBorder="1" applyAlignment="1">
      <alignment vertical="center"/>
    </xf>
    <xf numFmtId="0" fontId="11" fillId="7" borderId="6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4" fontId="12" fillId="0" borderId="6" xfId="0" applyNumberFormat="1" applyFont="1" applyBorder="1" applyAlignment="1">
      <alignment horizontal="right" vertical="center" wrapText="1"/>
    </xf>
    <xf numFmtId="10" fontId="12" fillId="0" borderId="6" xfId="0" applyNumberFormat="1" applyFont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right" vertical="center" wrapText="1"/>
    </xf>
    <xf numFmtId="4" fontId="14" fillId="8" borderId="6" xfId="0" applyNumberFormat="1" applyFont="1" applyFill="1" applyBorder="1" applyAlignment="1">
      <alignment horizontal="right" vertical="center" wrapText="1"/>
    </xf>
    <xf numFmtId="10" fontId="13" fillId="8" borderId="6" xfId="0" applyNumberFormat="1" applyFont="1" applyFill="1" applyBorder="1" applyAlignment="1">
      <alignment horizontal="center" vertical="center" wrapText="1"/>
    </xf>
    <xf numFmtId="0" fontId="10" fillId="2" borderId="0" xfId="0" applyFont="1" applyFill="1"/>
    <xf numFmtId="0" fontId="10" fillId="0" borderId="0" xfId="0" applyFont="1"/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right" vertical="center"/>
    </xf>
    <xf numFmtId="4" fontId="18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164" fontId="10" fillId="2" borderId="0" xfId="1" applyFont="1" applyFill="1" applyAlignment="1">
      <alignment vertical="center"/>
    </xf>
    <xf numFmtId="4" fontId="17" fillId="2" borderId="0" xfId="0" applyNumberFormat="1" applyFont="1" applyFill="1" applyAlignment="1">
      <alignment horizontal="center" vertical="center"/>
    </xf>
    <xf numFmtId="4" fontId="10" fillId="2" borderId="0" xfId="0" applyNumberFormat="1" applyFont="1" applyFill="1"/>
    <xf numFmtId="164" fontId="10" fillId="2" borderId="0" xfId="1" applyFont="1" applyFill="1"/>
    <xf numFmtId="0" fontId="19" fillId="2" borderId="0" xfId="0" applyFont="1" applyFill="1" applyAlignment="1">
      <alignment horizontal="right" vertical="center"/>
    </xf>
    <xf numFmtId="4" fontId="20" fillId="2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5" fillId="2" borderId="0" xfId="0" applyFont="1" applyFill="1"/>
    <xf numFmtId="0" fontId="21" fillId="5" borderId="0" xfId="0" applyFont="1" applyFill="1" applyAlignment="1">
      <alignment horizontal="left" vertical="center"/>
    </xf>
    <xf numFmtId="0" fontId="15" fillId="0" borderId="0" xfId="0" applyFont="1"/>
    <xf numFmtId="0" fontId="23" fillId="2" borderId="0" xfId="0" applyFont="1" applyFill="1"/>
    <xf numFmtId="0" fontId="22" fillId="5" borderId="0" xfId="0" applyFont="1" applyFill="1" applyAlignment="1">
      <alignment horizontal="left" vertical="center"/>
    </xf>
    <xf numFmtId="0" fontId="23" fillId="0" borderId="0" xfId="0" applyFont="1"/>
    <xf numFmtId="0" fontId="24" fillId="5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right" vertical="center"/>
    </xf>
    <xf numFmtId="0" fontId="26" fillId="4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4" fontId="25" fillId="6" borderId="0" xfId="0" applyNumberFormat="1" applyFont="1" applyFill="1" applyAlignment="1">
      <alignment horizontal="center" vertical="center"/>
    </xf>
    <xf numFmtId="0" fontId="21" fillId="5" borderId="0" xfId="0" applyFont="1" applyFill="1" applyAlignment="1">
      <alignment vertical="center"/>
    </xf>
    <xf numFmtId="10" fontId="18" fillId="2" borderId="0" xfId="2" applyNumberFormat="1" applyFont="1" applyFill="1" applyBorder="1" applyAlignment="1">
      <alignment horizontal="center" vertical="center"/>
    </xf>
    <xf numFmtId="10" fontId="25" fillId="6" borderId="0" xfId="2" applyNumberFormat="1" applyFont="1" applyFill="1" applyBorder="1" applyAlignment="1">
      <alignment horizontal="center" vertical="center"/>
    </xf>
    <xf numFmtId="4" fontId="25" fillId="6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</cellXfs>
  <cellStyles count="91">
    <cellStyle name="Comma" xfId="1" builtinId="3"/>
    <cellStyle name="Comma 2" xfId="3" xr:uid="{00000000-0005-0000-0000-000001000000}"/>
    <cellStyle name="Comma 2 2" xfId="4" xr:uid="{00000000-0005-0000-0000-000002000000}"/>
    <cellStyle name="Comma 2 2 2" xfId="5" xr:uid="{00000000-0005-0000-0000-000003000000}"/>
    <cellStyle name="Comma 2 3" xfId="6" xr:uid="{00000000-0005-0000-0000-000004000000}"/>
    <cellStyle name="Comma 2 3 2" xfId="7" xr:uid="{00000000-0005-0000-0000-000005000000}"/>
    <cellStyle name="Comma 2 4" xfId="8" xr:uid="{00000000-0005-0000-0000-000006000000}"/>
    <cellStyle name="Comma 2 5" xfId="9" xr:uid="{00000000-0005-0000-0000-000007000000}"/>
    <cellStyle name="Comma 3" xfId="10" xr:uid="{00000000-0005-0000-0000-000008000000}"/>
    <cellStyle name="Comma 3 2" xfId="11" xr:uid="{00000000-0005-0000-0000-000009000000}"/>
    <cellStyle name="Comma 3 2 2" xfId="12" xr:uid="{00000000-0005-0000-0000-00000A000000}"/>
    <cellStyle name="Comma 3 2 2 2" xfId="13" xr:uid="{00000000-0005-0000-0000-00000B000000}"/>
    <cellStyle name="Comma 3 2 3" xfId="14" xr:uid="{00000000-0005-0000-0000-00000C000000}"/>
    <cellStyle name="Comma 3 2 3 2" xfId="15" xr:uid="{00000000-0005-0000-0000-00000D000000}"/>
    <cellStyle name="Comma 3 2 4" xfId="16" xr:uid="{00000000-0005-0000-0000-00000E000000}"/>
    <cellStyle name="Comma 3 3" xfId="17" xr:uid="{00000000-0005-0000-0000-00000F000000}"/>
    <cellStyle name="Comma 3 3 2" xfId="18" xr:uid="{00000000-0005-0000-0000-000010000000}"/>
    <cellStyle name="Comma 3 4" xfId="19" xr:uid="{00000000-0005-0000-0000-000011000000}"/>
    <cellStyle name="Comma 3 4 2" xfId="20" xr:uid="{00000000-0005-0000-0000-000012000000}"/>
    <cellStyle name="Comma 3 5" xfId="21" xr:uid="{00000000-0005-0000-0000-000013000000}"/>
    <cellStyle name="Comma 4" xfId="22" xr:uid="{00000000-0005-0000-0000-000014000000}"/>
    <cellStyle name="Comma 4 2" xfId="23" xr:uid="{00000000-0005-0000-0000-000015000000}"/>
    <cellStyle name="Comma 4 2 2" xfId="24" xr:uid="{00000000-0005-0000-0000-000016000000}"/>
    <cellStyle name="Comma 4 3" xfId="25" xr:uid="{00000000-0005-0000-0000-000017000000}"/>
    <cellStyle name="Comma 4 3 2" xfId="26" xr:uid="{00000000-0005-0000-0000-000018000000}"/>
    <cellStyle name="Comma 4 4" xfId="27" xr:uid="{00000000-0005-0000-0000-000019000000}"/>
    <cellStyle name="Comma 5" xfId="28" xr:uid="{00000000-0005-0000-0000-00001A000000}"/>
    <cellStyle name="Comma 6" xfId="29" xr:uid="{00000000-0005-0000-0000-00001B000000}"/>
    <cellStyle name="Comma 7" xfId="30" xr:uid="{00000000-0005-0000-0000-00001C000000}"/>
    <cellStyle name="Comma 8" xfId="31" xr:uid="{00000000-0005-0000-0000-00001D000000}"/>
    <cellStyle name="Excel_BuiltIn_Comma" xfId="32" xr:uid="{00000000-0005-0000-0000-00001E000000}"/>
    <cellStyle name="Normal" xfId="0" builtinId="0"/>
    <cellStyle name="Normal 2" xfId="33" xr:uid="{00000000-0005-0000-0000-000020000000}"/>
    <cellStyle name="Normal 2 2" xfId="34" xr:uid="{00000000-0005-0000-0000-000021000000}"/>
    <cellStyle name="Normal 3" xfId="35" xr:uid="{00000000-0005-0000-0000-000022000000}"/>
    <cellStyle name="Normal 3 2" xfId="36" xr:uid="{00000000-0005-0000-0000-000023000000}"/>
    <cellStyle name="Normal 3 2 2" xfId="37" xr:uid="{00000000-0005-0000-0000-000024000000}"/>
    <cellStyle name="Normal 3 2 2 2" xfId="38" xr:uid="{00000000-0005-0000-0000-000025000000}"/>
    <cellStyle name="Normal 3 2 2 2 2" xfId="39" xr:uid="{00000000-0005-0000-0000-000026000000}"/>
    <cellStyle name="Normal 3 2 2 3" xfId="40" xr:uid="{00000000-0005-0000-0000-000027000000}"/>
    <cellStyle name="Normal 3 2 2 3 2" xfId="41" xr:uid="{00000000-0005-0000-0000-000028000000}"/>
    <cellStyle name="Normal 3 2 3" xfId="42" xr:uid="{00000000-0005-0000-0000-000029000000}"/>
    <cellStyle name="Normal 3 2 3 2" xfId="43" xr:uid="{00000000-0005-0000-0000-00002A000000}"/>
    <cellStyle name="Normal 3 2 4" xfId="44" xr:uid="{00000000-0005-0000-0000-00002B000000}"/>
    <cellStyle name="Normal 3 2 4 2" xfId="45" xr:uid="{00000000-0005-0000-0000-00002C000000}"/>
    <cellStyle name="Normal 3 3" xfId="46" xr:uid="{00000000-0005-0000-0000-00002D000000}"/>
    <cellStyle name="Normal 3 3 2" xfId="47" xr:uid="{00000000-0005-0000-0000-00002E000000}"/>
    <cellStyle name="Normal 3 3 2 2" xfId="48" xr:uid="{00000000-0005-0000-0000-00002F000000}"/>
    <cellStyle name="Normal 3 3 3" xfId="49" xr:uid="{00000000-0005-0000-0000-000030000000}"/>
    <cellStyle name="Normal 3 3 3 2" xfId="50" xr:uid="{00000000-0005-0000-0000-000031000000}"/>
    <cellStyle name="Normal 3 3 4" xfId="51" xr:uid="{00000000-0005-0000-0000-000032000000}"/>
    <cellStyle name="Normal 3 3 5" xfId="52" xr:uid="{00000000-0005-0000-0000-000033000000}"/>
    <cellStyle name="Normal 3 4" xfId="53" xr:uid="{00000000-0005-0000-0000-000034000000}"/>
    <cellStyle name="Normal 3 4 2" xfId="54" xr:uid="{00000000-0005-0000-0000-000035000000}"/>
    <cellStyle name="Normal 3 5" xfId="55" xr:uid="{00000000-0005-0000-0000-000036000000}"/>
    <cellStyle name="Normal 3 5 2" xfId="56" xr:uid="{00000000-0005-0000-0000-000037000000}"/>
    <cellStyle name="Normal 3 6" xfId="57" xr:uid="{00000000-0005-0000-0000-000038000000}"/>
    <cellStyle name="Normal 4" xfId="58" xr:uid="{00000000-0005-0000-0000-000039000000}"/>
    <cellStyle name="Normal 4 2" xfId="59" xr:uid="{00000000-0005-0000-0000-00003A000000}"/>
    <cellStyle name="Normal 4 2 2" xfId="60" xr:uid="{00000000-0005-0000-0000-00003B000000}"/>
    <cellStyle name="Normal 4 2 2 2" xfId="61" xr:uid="{00000000-0005-0000-0000-00003C000000}"/>
    <cellStyle name="Normal 4 2 3" xfId="62" xr:uid="{00000000-0005-0000-0000-00003D000000}"/>
    <cellStyle name="Normal 4 2 3 2" xfId="63" xr:uid="{00000000-0005-0000-0000-00003E000000}"/>
    <cellStyle name="Normal 4 2 4" xfId="64" xr:uid="{00000000-0005-0000-0000-00003F000000}"/>
    <cellStyle name="Normal 4 2 5" xfId="65" xr:uid="{00000000-0005-0000-0000-000040000000}"/>
    <cellStyle name="Normal 4 3" xfId="66" xr:uid="{00000000-0005-0000-0000-000041000000}"/>
    <cellStyle name="Normal 4 3 2" xfId="67" xr:uid="{00000000-0005-0000-0000-000042000000}"/>
    <cellStyle name="Normal 4 4" xfId="68" xr:uid="{00000000-0005-0000-0000-000043000000}"/>
    <cellStyle name="Normal 4 4 2" xfId="69" xr:uid="{00000000-0005-0000-0000-000044000000}"/>
    <cellStyle name="Normal 4 5" xfId="70" xr:uid="{00000000-0005-0000-0000-000045000000}"/>
    <cellStyle name="Normal 4 6" xfId="71" xr:uid="{00000000-0005-0000-0000-000046000000}"/>
    <cellStyle name="Normal 5" xfId="72" xr:uid="{00000000-0005-0000-0000-000047000000}"/>
    <cellStyle name="Normal 5 2" xfId="73" xr:uid="{00000000-0005-0000-0000-000048000000}"/>
    <cellStyle name="Normal 5 2 2" xfId="74" xr:uid="{00000000-0005-0000-0000-000049000000}"/>
    <cellStyle name="Normal 5 3" xfId="75" xr:uid="{00000000-0005-0000-0000-00004A000000}"/>
    <cellStyle name="Normal 5 3 2" xfId="76" xr:uid="{00000000-0005-0000-0000-00004B000000}"/>
    <cellStyle name="Normal 5 4" xfId="77" xr:uid="{00000000-0005-0000-0000-00004C000000}"/>
    <cellStyle name="Normal 6" xfId="78" xr:uid="{00000000-0005-0000-0000-00004D000000}"/>
    <cellStyle name="Percent" xfId="2" builtinId="5"/>
    <cellStyle name="Percent 2" xfId="79" xr:uid="{00000000-0005-0000-0000-00004F000000}"/>
    <cellStyle name="Percent 3" xfId="80" xr:uid="{00000000-0005-0000-0000-000050000000}"/>
    <cellStyle name="Percent 3 2" xfId="81" xr:uid="{00000000-0005-0000-0000-000051000000}"/>
    <cellStyle name="Percent 3 2 2" xfId="82" xr:uid="{00000000-0005-0000-0000-000052000000}"/>
    <cellStyle name="Percent 3 3" xfId="83" xr:uid="{00000000-0005-0000-0000-000053000000}"/>
    <cellStyle name="Percent 3 3 2" xfId="84" xr:uid="{00000000-0005-0000-0000-000054000000}"/>
    <cellStyle name="Percent 3 4" xfId="85" xr:uid="{00000000-0005-0000-0000-000055000000}"/>
    <cellStyle name="เครื่องหมายจุลภาค 2" xfId="86" xr:uid="{00000000-0005-0000-0000-000056000000}"/>
    <cellStyle name="เปอร์เซ็นต์ 2" xfId="89" xr:uid="{00000000-0005-0000-0000-000057000000}"/>
    <cellStyle name="ปกติ 2" xfId="87" xr:uid="{00000000-0005-0000-0000-000058000000}"/>
    <cellStyle name="ปกติ_หน้า(8-9)" xfId="88" xr:uid="{00000000-0005-0000-0000-000059000000}"/>
    <cellStyle name="標準_JADS MMR 0910" xfId="90" xr:uid="{2EABC789-0999-4996-B62A-86293314B76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sz="2800"/>
            </a:pPr>
            <a:r>
              <a:rPr lang="th-TH" sz="2800"/>
              <a:t>กราฟแสดง</a:t>
            </a:r>
            <a:r>
              <a:rPr lang="en-US" sz="2800"/>
              <a:t> </a:t>
            </a:r>
            <a:r>
              <a:rPr lang="th-TH" sz="2800"/>
              <a:t>การใช้พลังงาน</a:t>
            </a:r>
            <a:r>
              <a:rPr lang="th-TH" sz="2800" baseline="0"/>
              <a:t> ประจำปี </a:t>
            </a:r>
            <a:r>
              <a:rPr lang="en-US" sz="2800" baseline="0"/>
              <a:t>25</a:t>
            </a:r>
            <a:r>
              <a:rPr lang="th-TH" sz="2800" baseline="0"/>
              <a:t>67 ( </a:t>
            </a:r>
            <a:r>
              <a:rPr lang="en-US" sz="2800" baseline="0"/>
              <a:t>Energy : MJ / Month )</a:t>
            </a:r>
            <a:endParaRPr lang="en-US" sz="2800"/>
          </a:p>
        </c:rich>
      </c:tx>
      <c:layout>
        <c:manualLayout>
          <c:xMode val="edge"/>
          <c:yMode val="edge"/>
          <c:x val="0.26771069720853014"/>
          <c:y val="4.21473579680264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428907879630256"/>
          <c:y val="0.15948347231775145"/>
          <c:w val="0.83838656237452724"/>
          <c:h val="0.6576012582546612"/>
        </c:manualLayout>
      </c:layout>
      <c:barChart>
        <c:barDir val="col"/>
        <c:grouping val="clustered"/>
        <c:varyColors val="0"/>
        <c:ser>
          <c:idx val="0"/>
          <c:order val="0"/>
          <c:tx>
            <c:v>ปริมาณการใช้พลังงาน ( Energy : MJ )</c:v>
          </c:tx>
          <c:spPr>
            <a:solidFill>
              <a:schemeClr val="tx2">
                <a:lumMod val="60000"/>
                <a:lumOff val="40000"/>
              </a:schemeClr>
            </a:solidFill>
            <a:ln w="38100">
              <a:solidFill>
                <a:schemeClr val="tx2">
                  <a:lumMod val="60000"/>
                  <a:lumOff val="40000"/>
                </a:schemeClr>
              </a:solidFill>
            </a:ln>
          </c:spPr>
          <c:invertIfNegative val="0"/>
          <c:dLbls>
            <c:dLbl>
              <c:idx val="0"/>
              <c:layout>
                <c:manualLayout>
                  <c:x val="9.8653343027772073E-4"/>
                  <c:y val="1.70541906980803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CF-4B33-A639-9A1A1A4B1456}"/>
                </c:ext>
              </c:extLst>
            </c:dLbl>
            <c:dLbl>
              <c:idx val="1"/>
              <c:layout>
                <c:manualLayout>
                  <c:x val="-1.6771067011948162E-2"/>
                  <c:y val="-1.954103443518649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20-4802-8443-FBD04898442E}"/>
                </c:ext>
              </c:extLst>
            </c:dLbl>
            <c:dLbl>
              <c:idx val="2"/>
              <c:layout>
                <c:manualLayout>
                  <c:x val="-6.6807962804023751E-3"/>
                  <c:y val="6.33941708668561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20-4802-8443-FBD04898442E}"/>
                </c:ext>
              </c:extLst>
            </c:dLbl>
            <c:dLbl>
              <c:idx val="3"/>
              <c:layout>
                <c:manualLayout>
                  <c:x val="-4.9011024259076417E-3"/>
                  <c:y val="8.629179829461304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32-4526-AFA0-4E1D02E88158}"/>
                </c:ext>
              </c:extLst>
            </c:dLbl>
            <c:dLbl>
              <c:idx val="4"/>
              <c:layout>
                <c:manualLayout>
                  <c:x val="-2.9222535591092512E-3"/>
                  <c:y val="1.7374972454821313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0-4708-9A3F-6EEFF303C23C}"/>
                </c:ext>
              </c:extLst>
            </c:dLbl>
            <c:dLbl>
              <c:idx val="6"/>
              <c:layout>
                <c:manualLayout>
                  <c:x val="9.8022258153425824E-4"/>
                  <c:y val="1.9237896535461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F1-4632-ADBA-337C583187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Factory 2024'!$C$4:$N$4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Factory 2024'!$C$18:$N$18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0-4708-9A3F-6EEFF303C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axId val="353460688"/>
        <c:axId val="353461232"/>
      </c:barChart>
      <c:catAx>
        <c:axId val="35346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2400"/>
            </a:pPr>
            <a:endParaRPr lang="en-US"/>
          </a:p>
        </c:txPr>
        <c:crossAx val="353461232"/>
        <c:crosses val="autoZero"/>
        <c:auto val="1"/>
        <c:lblAlgn val="ctr"/>
        <c:lblOffset val="100"/>
        <c:noMultiLvlLbl val="0"/>
      </c:catAx>
      <c:valAx>
        <c:axId val="3534612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MJ</a:t>
                </a:r>
              </a:p>
            </c:rich>
          </c:tx>
          <c:layout>
            <c:manualLayout>
              <c:xMode val="edge"/>
              <c:yMode val="edge"/>
              <c:x val="7.6689938755563555E-2"/>
              <c:y val="7.5644748391056005E-2"/>
            </c:manualLayout>
          </c:layout>
          <c:overlay val="0"/>
        </c:title>
        <c:numFmt formatCode="#,##0.00" sourceLinked="1"/>
        <c:majorTickMark val="none"/>
        <c:minorTickMark val="none"/>
        <c:tickLblPos val="nextTo"/>
        <c:txPr>
          <a:bodyPr/>
          <a:lstStyle/>
          <a:p>
            <a:pPr>
              <a:defRPr sz="2400" b="1"/>
            </a:pPr>
            <a:endParaRPr lang="en-US"/>
          </a:p>
        </c:txPr>
        <c:crossAx val="35346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513812180288169"/>
          <c:y val="0.90190525760912377"/>
          <c:w val="0.80204127307133533"/>
          <c:h val="9.8094927015396238E-2"/>
        </c:manualLayout>
      </c:layout>
      <c:overlay val="0"/>
      <c:txPr>
        <a:bodyPr/>
        <a:lstStyle/>
        <a:p>
          <a:pPr>
            <a:defRPr sz="2000"/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 sz="1600">
          <a:solidFill>
            <a:schemeClr val="dk1"/>
          </a:solidFill>
          <a:latin typeface="AngsanaUPC" pitchFamily="18" charset="-34"/>
          <a:ea typeface="+mn-ea"/>
          <a:cs typeface="AngsanaUPC" pitchFamily="18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sz="2800"/>
            </a:pPr>
            <a:r>
              <a:rPr lang="th-TH" sz="2800"/>
              <a:t>กราฟแสดง</a:t>
            </a:r>
            <a:r>
              <a:rPr lang="en-US" sz="2800"/>
              <a:t> </a:t>
            </a:r>
            <a:r>
              <a:rPr lang="th-TH" sz="2800"/>
              <a:t>การใช้พลังงาน </a:t>
            </a:r>
            <a:r>
              <a:rPr lang="th-TH" sz="2800" baseline="0"/>
              <a:t>ตามประเภทพลังงาน ประจำปี </a:t>
            </a:r>
            <a:r>
              <a:rPr lang="en-US" sz="2800" baseline="0"/>
              <a:t>256</a:t>
            </a:r>
            <a:r>
              <a:rPr lang="th-TH" sz="2800" baseline="0"/>
              <a:t>7</a:t>
            </a:r>
            <a:endParaRPr lang="en-US" sz="2800" baseline="0"/>
          </a:p>
          <a:p>
            <a:pPr>
              <a:defRPr sz="2800"/>
            </a:pPr>
            <a:r>
              <a:rPr lang="en-US" sz="2800" baseline="0"/>
              <a:t>( Energy type : </a:t>
            </a:r>
            <a:r>
              <a:rPr lang="th-TH" sz="2800" baseline="0"/>
              <a:t> </a:t>
            </a:r>
            <a:r>
              <a:rPr lang="en-US" sz="2800" baseline="0"/>
              <a:t>MJ / Month )</a:t>
            </a:r>
            <a:endParaRPr lang="en-US" sz="2800"/>
          </a:p>
        </c:rich>
      </c:tx>
      <c:layout>
        <c:manualLayout>
          <c:xMode val="edge"/>
          <c:yMode val="edge"/>
          <c:x val="0.25214496415425536"/>
          <c:y val="1.75583005569748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4914659340822087E-2"/>
          <c:y val="0.21501952606901495"/>
          <c:w val="0.90836638177347273"/>
          <c:h val="0.62642168513443397"/>
        </c:manualLayout>
      </c:layout>
      <c:areaChart>
        <c:grouping val="stacked"/>
        <c:varyColors val="0"/>
        <c:ser>
          <c:idx val="1"/>
          <c:order val="0"/>
          <c:tx>
            <c:strRef>
              <c:f>'Energy Factory 2024'!$B$17</c:f>
              <c:strCache>
                <c:ptCount val="1"/>
                <c:pt idx="0">
                  <c:v>LPG ( MJ. )</c:v>
                </c:pt>
              </c:strCache>
            </c:strRef>
          </c:tx>
          <c:spPr>
            <a:solidFill>
              <a:srgbClr val="FFC000"/>
            </a:solidFill>
            <a:scene3d>
              <a:camera prst="orthographicFront"/>
              <a:lightRig rig="threePt" dir="t">
                <a:rot lat="0" lon="0" rev="1200000"/>
              </a:lightRig>
            </a:scene3d>
            <a:sp3d>
              <a:bevelT w="63500" h="25400"/>
              <a:bevelB/>
            </a:sp3d>
          </c:spPr>
          <c:dLbls>
            <c:dLbl>
              <c:idx val="0"/>
              <c:layout>
                <c:manualLayout>
                  <c:x val="6.3989508016210936E-2"/>
                  <c:y val="-0.15461119260313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B6-4EF7-8543-A250ED38CC0F}"/>
                </c:ext>
              </c:extLst>
            </c:dLbl>
            <c:dLbl>
              <c:idx val="1"/>
              <c:layout>
                <c:manualLayout>
                  <c:x val="-2.851912911426022E-2"/>
                  <c:y val="-4.43587115678993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78-4FB7-B11A-3B7D4AE37FD6}"/>
                </c:ext>
              </c:extLst>
            </c:dLbl>
            <c:dLbl>
              <c:idx val="2"/>
              <c:layout>
                <c:manualLayout>
                  <c:x val="-1.4665033284708287E-3"/>
                  <c:y val="-0.180845987852357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17-4293-ACF7-2CBEC8487EE9}"/>
                </c:ext>
              </c:extLst>
            </c:dLbl>
            <c:dLbl>
              <c:idx val="3"/>
              <c:layout>
                <c:manualLayout>
                  <c:x val="-2.966401033864083E-3"/>
                  <c:y val="-0.118708840749308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78-4FB7-B11A-3B7D4AE37FD6}"/>
                </c:ext>
              </c:extLst>
            </c:dLbl>
            <c:dLbl>
              <c:idx val="4"/>
              <c:layout>
                <c:manualLayout>
                  <c:x val="-6.521541877588027E-3"/>
                  <c:y val="-0.1778300368651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78-4FB7-B11A-3B7D4AE37FD6}"/>
                </c:ext>
              </c:extLst>
            </c:dLbl>
            <c:dLbl>
              <c:idx val="5"/>
              <c:layout>
                <c:manualLayout>
                  <c:x val="-6.3469063495827046E-4"/>
                  <c:y val="-8.31261805814657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78-4FB7-B11A-3B7D4AE37FD6}"/>
                </c:ext>
              </c:extLst>
            </c:dLbl>
            <c:dLbl>
              <c:idx val="6"/>
              <c:layout>
                <c:manualLayout>
                  <c:x val="-1.7660553727889109E-2"/>
                  <c:y val="-0.163847204611873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49-4D93-9747-E0E33A48897C}"/>
                </c:ext>
              </c:extLst>
            </c:dLbl>
            <c:dLbl>
              <c:idx val="7"/>
              <c:layout>
                <c:manualLayout>
                  <c:x val="-1.9592770240166344E-2"/>
                  <c:y val="-3.5767855248724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78-4FB7-B11A-3B7D4AE37FD6}"/>
                </c:ext>
              </c:extLst>
            </c:dLbl>
            <c:dLbl>
              <c:idx val="8"/>
              <c:layout>
                <c:manualLayout>
                  <c:x val="-7.3370775923108349E-3"/>
                  <c:y val="-2.9390964624915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78-4FB7-B11A-3B7D4AE37FD6}"/>
                </c:ext>
              </c:extLst>
            </c:dLbl>
            <c:dLbl>
              <c:idx val="9"/>
              <c:layout>
                <c:manualLayout>
                  <c:x val="0"/>
                  <c:y val="4.5742169399821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21-4E22-9E26-7E1CEF754112}"/>
                </c:ext>
              </c:extLst>
            </c:dLbl>
            <c:dLbl>
              <c:idx val="10"/>
              <c:layout>
                <c:manualLayout>
                  <c:x val="-2.0543817258470445E-2"/>
                  <c:y val="-5.0316386339803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21-4E22-9E26-7E1CEF7541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Factory 2024'!$C$4:$N$4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Factory 2024'!$C$17:$N$17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78-4FB7-B11A-3B7D4AE37FD6}"/>
            </c:ext>
          </c:extLst>
        </c:ser>
        <c:ser>
          <c:idx val="0"/>
          <c:order val="1"/>
          <c:tx>
            <c:strRef>
              <c:f>'Energy Factory 2024'!$B$16</c:f>
              <c:strCache>
                <c:ptCount val="1"/>
                <c:pt idx="0">
                  <c:v>EE ( MJ. 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dLbls>
            <c:dLbl>
              <c:idx val="0"/>
              <c:layout>
                <c:manualLayout>
                  <c:x val="4.0226600685444931E-2"/>
                  <c:y val="-6.4993300174081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78-4FB7-B11A-3B7D4AE37FD6}"/>
                </c:ext>
              </c:extLst>
            </c:dLbl>
            <c:dLbl>
              <c:idx val="1"/>
              <c:layout>
                <c:manualLayout>
                  <c:x val="2.4289966183223717E-3"/>
                  <c:y val="-9.16712980507926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878-4FB7-B11A-3B7D4AE37FD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78-4FB7-B11A-3B7D4AE37FD6}"/>
                </c:ext>
              </c:extLst>
            </c:dLbl>
            <c:dLbl>
              <c:idx val="3"/>
              <c:layout>
                <c:manualLayout>
                  <c:x val="9.1423211007716724E-3"/>
                  <c:y val="-6.1358310822359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878-4FB7-B11A-3B7D4AE37FD6}"/>
                </c:ext>
              </c:extLst>
            </c:dLbl>
            <c:dLbl>
              <c:idx val="4"/>
              <c:layout>
                <c:manualLayout>
                  <c:x val="5.2030373914330706E-4"/>
                  <c:y val="-0.145779848539383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878-4FB7-B11A-3B7D4AE37FD6}"/>
                </c:ext>
              </c:extLst>
            </c:dLbl>
            <c:dLbl>
              <c:idx val="5"/>
              <c:layout>
                <c:manualLayout>
                  <c:x val="1.0258718686036113E-2"/>
                  <c:y val="-0.163379653009407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878-4FB7-B11A-3B7D4AE37FD6}"/>
                </c:ext>
              </c:extLst>
            </c:dLbl>
            <c:dLbl>
              <c:idx val="6"/>
              <c:layout>
                <c:manualLayout>
                  <c:x val="2.7353324213051752E-2"/>
                  <c:y val="-0.120469630023770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878-4FB7-B11A-3B7D4AE37FD6}"/>
                </c:ext>
              </c:extLst>
            </c:dLbl>
            <c:dLbl>
              <c:idx val="7"/>
              <c:layout>
                <c:manualLayout>
                  <c:x val="1.3661985110469814E-2"/>
                  <c:y val="-9.86550541585484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878-4FB7-B11A-3B7D4AE37FD6}"/>
                </c:ext>
              </c:extLst>
            </c:dLbl>
            <c:dLbl>
              <c:idx val="8"/>
              <c:layout>
                <c:manualLayout>
                  <c:x val="1.944119871675842E-2"/>
                  <c:y val="-5.4145521845586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878-4FB7-B11A-3B7D4AE37FD6}"/>
                </c:ext>
              </c:extLst>
            </c:dLbl>
            <c:dLbl>
              <c:idx val="9"/>
              <c:layout>
                <c:manualLayout>
                  <c:x val="1.1664719230055052E-2"/>
                  <c:y val="-8.93401110452173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878-4FB7-B11A-3B7D4AE37FD6}"/>
                </c:ext>
              </c:extLst>
            </c:dLbl>
            <c:dLbl>
              <c:idx val="10"/>
              <c:layout>
                <c:manualLayout>
                  <c:x val="9.7205993583792099E-3"/>
                  <c:y val="-6.4974626214703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878-4FB7-B11A-3B7D4AE37FD6}"/>
                </c:ext>
              </c:extLst>
            </c:dLbl>
            <c:dLbl>
              <c:idx val="11"/>
              <c:layout>
                <c:manualLayout>
                  <c:x val="0"/>
                  <c:y val="-2.1658208738234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878-4FB7-B11A-3B7D4AE37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Factory 2024'!$C$4:$N$4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Factory 2024'!$C$16:$N$16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878-4FB7-B11A-3B7D4AE37F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53459600"/>
        <c:axId val="353462864"/>
      </c:areaChart>
      <c:catAx>
        <c:axId val="35345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2000" b="1"/>
            </a:pPr>
            <a:endParaRPr lang="en-US"/>
          </a:p>
        </c:txPr>
        <c:crossAx val="353462864"/>
        <c:crosses val="autoZero"/>
        <c:auto val="1"/>
        <c:lblAlgn val="ctr"/>
        <c:lblOffset val="100"/>
        <c:noMultiLvlLbl val="0"/>
      </c:catAx>
      <c:valAx>
        <c:axId val="3534628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2000"/>
            </a:pPr>
            <a:endParaRPr lang="en-US"/>
          </a:p>
        </c:txPr>
        <c:crossAx val="35345960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3503885531421639"/>
          <c:y val="0.91066806438408443"/>
          <c:w val="0.83171069673001496"/>
          <c:h val="8.9083633679087934E-2"/>
        </c:manualLayout>
      </c:layout>
      <c:overlay val="0"/>
      <c:txPr>
        <a:bodyPr/>
        <a:lstStyle/>
        <a:p>
          <a:pPr>
            <a:defRPr sz="2000" b="1"/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 sz="1600">
          <a:solidFill>
            <a:schemeClr val="dk1"/>
          </a:solidFill>
          <a:latin typeface="AngsanaUPC" pitchFamily="18" charset="-34"/>
          <a:ea typeface="+mn-ea"/>
          <a:cs typeface="AngsanaUPC" pitchFamily="18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th-TH" sz="2400"/>
              <a:t>กราฟแสดง</a:t>
            </a:r>
            <a:r>
              <a:rPr lang="en-US" sz="2400"/>
              <a:t> </a:t>
            </a:r>
            <a:r>
              <a:rPr lang="th-TH" sz="2400"/>
              <a:t>ต้นทุนพลังงาน </a:t>
            </a:r>
            <a:r>
              <a:rPr lang="th-TH" sz="2400" baseline="0"/>
              <a:t>ตามประเภทพลังงาน ประจำปี </a:t>
            </a:r>
            <a:r>
              <a:rPr lang="en-US" sz="2400" baseline="0"/>
              <a:t>256</a:t>
            </a:r>
            <a:r>
              <a:rPr lang="th-TH" sz="2400" baseline="0"/>
              <a:t>7</a:t>
            </a:r>
            <a:endParaRPr lang="en-US" sz="2400" baseline="0"/>
          </a:p>
          <a:p>
            <a:pPr>
              <a:defRPr sz="2400"/>
            </a:pPr>
            <a:r>
              <a:rPr lang="en-US" sz="2400" baseline="0"/>
              <a:t>( Costs Energy type : </a:t>
            </a:r>
            <a:r>
              <a:rPr lang="th-TH" sz="2400" baseline="0"/>
              <a:t> </a:t>
            </a:r>
            <a:r>
              <a:rPr lang="en-US" sz="2400" baseline="0"/>
              <a:t>Baht /  MJ )</a:t>
            </a:r>
            <a:endParaRPr lang="en-US" sz="2400"/>
          </a:p>
        </c:rich>
      </c:tx>
      <c:layout>
        <c:manualLayout>
          <c:xMode val="edge"/>
          <c:yMode val="edge"/>
          <c:x val="0.13819378315566569"/>
          <c:y val="3.13876608192997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690122356670922E-2"/>
          <c:y val="0.21284445364347776"/>
          <c:w val="0.88536782633603595"/>
          <c:h val="0.62122466429338918"/>
        </c:manualLayout>
      </c:layout>
      <c:lineChart>
        <c:grouping val="standard"/>
        <c:varyColors val="0"/>
        <c:ser>
          <c:idx val="0"/>
          <c:order val="0"/>
          <c:tx>
            <c:strRef>
              <c:f>'Energy Factory 2024'!$B$28</c:f>
              <c:strCache>
                <c:ptCount val="1"/>
                <c:pt idx="0">
                  <c:v>EE ( Baht. / MJ )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 w="38100">
                <a:solidFill>
                  <a:srgbClr val="7030A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400" b="1"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Factory 2024'!$C$4:$N$4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Factory 2024'!$C$28:$N$28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0-45B1-AD85-F18E9D68FD39}"/>
            </c:ext>
          </c:extLst>
        </c:ser>
        <c:ser>
          <c:idx val="1"/>
          <c:order val="1"/>
          <c:tx>
            <c:strRef>
              <c:f>'Energy Factory 2024'!$B$29</c:f>
              <c:strCache>
                <c:ptCount val="1"/>
                <c:pt idx="0">
                  <c:v>LPG( Baht. / MJ )</c:v>
                </c:pt>
              </c:strCache>
            </c:strRef>
          </c:tx>
          <c:spPr>
            <a:ln w="28575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 w="28575">
                <a:solidFill>
                  <a:srgbClr val="FFC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 b="1">
                    <a:solidFill>
                      <a:srgbClr val="CC66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Factory 2024'!$C$4:$N$4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Factory 2024'!$C$29:$N$29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0-45B1-AD85-F18E9D68FD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3467760"/>
        <c:axId val="353457968"/>
      </c:lineChart>
      <c:catAx>
        <c:axId val="35346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2000"/>
            </a:pPr>
            <a:endParaRPr lang="en-US"/>
          </a:p>
        </c:txPr>
        <c:crossAx val="353457968"/>
        <c:crosses val="autoZero"/>
        <c:auto val="1"/>
        <c:lblAlgn val="ctr"/>
        <c:lblOffset val="100"/>
        <c:noMultiLvlLbl val="0"/>
      </c:catAx>
      <c:valAx>
        <c:axId val="353457968"/>
        <c:scaling>
          <c:orientation val="minMax"/>
          <c:max val="1.8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2000"/>
            </a:pPr>
            <a:endParaRPr lang="en-US"/>
          </a:p>
        </c:txPr>
        <c:crossAx val="353467760"/>
        <c:crosses val="autoZero"/>
        <c:crossBetween val="between"/>
        <c:minorUnit val="0.1"/>
      </c:valAx>
    </c:plotArea>
    <c:legend>
      <c:legendPos val="b"/>
      <c:layout>
        <c:manualLayout>
          <c:xMode val="edge"/>
          <c:yMode val="edge"/>
          <c:x val="9.2724851307970521E-2"/>
          <c:y val="0.9193469334063572"/>
          <c:w val="0.87254005684493863"/>
          <c:h val="7.8903144848783024E-2"/>
        </c:manualLayout>
      </c:layout>
      <c:overlay val="0"/>
      <c:txPr>
        <a:bodyPr/>
        <a:lstStyle/>
        <a:p>
          <a:pPr>
            <a:defRPr sz="1800" b="1"/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 sz="1600">
          <a:solidFill>
            <a:schemeClr val="dk1"/>
          </a:solidFill>
          <a:latin typeface="AngsanaUPC" pitchFamily="18" charset="-34"/>
          <a:ea typeface="+mn-ea"/>
          <a:cs typeface="AngsanaUPC" pitchFamily="18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th-TH" sz="2400"/>
              <a:t>กราฟแสดง</a:t>
            </a:r>
            <a:r>
              <a:rPr lang="en-US" sz="2400"/>
              <a:t> </a:t>
            </a:r>
            <a:r>
              <a:rPr lang="th-TH" sz="2400"/>
              <a:t>ปริมาณการใช้พลังงาน</a:t>
            </a:r>
            <a:r>
              <a:rPr lang="th-TH" sz="2400" baseline="0"/>
              <a:t> ประจำปี </a:t>
            </a:r>
            <a:r>
              <a:rPr lang="en-US" sz="2400" baseline="0"/>
              <a:t>256</a:t>
            </a:r>
            <a:r>
              <a:rPr lang="th-TH" sz="2400" baseline="0"/>
              <a:t>7</a:t>
            </a:r>
            <a:endParaRPr lang="en-US" sz="2400" baseline="0"/>
          </a:p>
          <a:p>
            <a:pPr>
              <a:defRPr sz="2400"/>
            </a:pPr>
            <a:r>
              <a:rPr lang="en-US" sz="2400" baseline="0"/>
              <a:t> </a:t>
            </a:r>
            <a:r>
              <a:rPr lang="th-TH" sz="2400" baseline="0"/>
              <a:t>ไฟฟ้า ( </a:t>
            </a:r>
            <a:r>
              <a:rPr lang="en-US" sz="2400" baseline="0"/>
              <a:t>Electricity : KWh / Month &amp; Bath / KWh ) </a:t>
            </a:r>
            <a:endParaRPr lang="en-US" sz="24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914766612808476"/>
          <c:y val="0.20970967968868598"/>
          <c:w val="0.7799075010172648"/>
          <c:h val="0.6852824365124570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'Energy Factory 2024'!$B$6</c:f>
              <c:strCache>
                <c:ptCount val="1"/>
                <c:pt idx="0">
                  <c:v>EE ( KWh. )</c:v>
                </c:pt>
              </c:strCache>
            </c:strRef>
          </c:tx>
          <c:spPr>
            <a:solidFill>
              <a:srgbClr val="7030A0"/>
            </a:solidFill>
            <a:ln w="28575">
              <a:noFill/>
            </a:ln>
          </c:spPr>
          <c:invertIfNegative val="0"/>
          <c:dLbls>
            <c:dLbl>
              <c:idx val="0"/>
              <c:layout>
                <c:manualLayout>
                  <c:x val="1.9013874486235267E-2"/>
                  <c:y val="1.41118554943758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85-40A6-94C0-CC8F3DD0C60C}"/>
                </c:ext>
              </c:extLst>
            </c:dLbl>
            <c:dLbl>
              <c:idx val="2"/>
              <c:layout>
                <c:manualLayout>
                  <c:x val="1.1217504398967794E-2"/>
                  <c:y val="1.9086460433518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85-40A6-94C0-CC8F3DD0C60C}"/>
                </c:ext>
              </c:extLst>
            </c:dLbl>
            <c:dLbl>
              <c:idx val="3"/>
              <c:layout>
                <c:manualLayout>
                  <c:x val="0"/>
                  <c:y val="1.5674310052663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85-40A6-94C0-CC8F3DD0C60C}"/>
                </c:ext>
              </c:extLst>
            </c:dLbl>
            <c:dLbl>
              <c:idx val="4"/>
              <c:layout>
                <c:manualLayout>
                  <c:x val="3.169876566927621E-3"/>
                  <c:y val="2.6770439736011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85-40A6-94C0-CC8F3DD0C60C}"/>
                </c:ext>
              </c:extLst>
            </c:dLbl>
            <c:dLbl>
              <c:idx val="6"/>
              <c:layout>
                <c:manualLayout>
                  <c:x val="0"/>
                  <c:y val="1.5348311720240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D5-4330-AD93-8A4CA6B800EE}"/>
                </c:ext>
              </c:extLst>
            </c:dLbl>
            <c:dLbl>
              <c:idx val="8"/>
              <c:layout>
                <c:manualLayout>
                  <c:x val="-2.0286311739273295E-3"/>
                  <c:y val="2.1390856209022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85-40A6-94C0-CC8F3DD0C60C}"/>
                </c:ext>
              </c:extLst>
            </c:dLbl>
            <c:dLbl>
              <c:idx val="10"/>
              <c:layout>
                <c:manualLayout>
                  <c:x val="-6.0858935217819876E-3"/>
                  <c:y val="-2.4064713235150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85-40A6-94C0-CC8F3DD0C6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Factory 2024'!$C$4:$N$4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Factory 2024'!$C$6:$N$6</c:f>
              <c:numCache>
                <c:formatCode>#,##0.00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5485-40A6-94C0-CC8F3DD0C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353465040"/>
        <c:axId val="353467216"/>
      </c:barChart>
      <c:lineChart>
        <c:grouping val="stacked"/>
        <c:varyColors val="0"/>
        <c:ser>
          <c:idx val="0"/>
          <c:order val="1"/>
          <c:tx>
            <c:strRef>
              <c:f>'Energy Factory 2024'!$B$9</c:f>
              <c:strCache>
                <c:ptCount val="1"/>
                <c:pt idx="0">
                  <c:v>EE ( Baht. / KWh. )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3.7952056194318518E-2"/>
                  <c:y val="-3.09988104154733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5F-44DA-BB1D-32A96407AF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Factory 2024'!$C$4:$N$4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Factory 2024'!$C$9:$N$9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485-40A6-94C0-CC8F3DD0C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456336"/>
        <c:axId val="353458512"/>
      </c:lineChart>
      <c:catAx>
        <c:axId val="3534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2400" b="1"/>
            </a:pPr>
            <a:endParaRPr lang="en-US"/>
          </a:p>
        </c:txPr>
        <c:crossAx val="353467216"/>
        <c:crosses val="autoZero"/>
        <c:auto val="1"/>
        <c:lblAlgn val="ctr"/>
        <c:lblOffset val="100"/>
        <c:noMultiLvlLbl val="0"/>
      </c:catAx>
      <c:valAx>
        <c:axId val="3534672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2000"/>
                </a:pPr>
                <a:r>
                  <a:rPr lang="en-US" sz="2000"/>
                  <a:t>KWh</a:t>
                </a:r>
              </a:p>
            </c:rich>
          </c:tx>
          <c:layout>
            <c:manualLayout>
              <c:xMode val="edge"/>
              <c:yMode val="edge"/>
              <c:x val="8.5772314689167382E-3"/>
              <c:y val="0.11071991201994258"/>
            </c:manualLayout>
          </c:layout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2000"/>
            </a:pPr>
            <a:endParaRPr lang="en-US"/>
          </a:p>
        </c:txPr>
        <c:crossAx val="353465040"/>
        <c:crosses val="autoZero"/>
        <c:crossBetween val="between"/>
      </c:valAx>
      <c:valAx>
        <c:axId val="353458512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>
                  <a:defRPr sz="2000">
                    <a:solidFill>
                      <a:srgbClr val="FF0000"/>
                    </a:solidFill>
                  </a:defRPr>
                </a:pPr>
                <a:r>
                  <a:rPr lang="en-US" sz="2000">
                    <a:solidFill>
                      <a:srgbClr val="FF0000"/>
                    </a:solidFill>
                  </a:rPr>
                  <a:t>Baht / KWh</a:t>
                </a:r>
              </a:p>
            </c:rich>
          </c:tx>
          <c:layout>
            <c:manualLayout>
              <c:xMode val="edge"/>
              <c:yMode val="edge"/>
              <c:x val="0.8762519929822038"/>
              <c:y val="0.10756570377215989"/>
            </c:manualLayout>
          </c:layout>
          <c:overlay val="0"/>
        </c:title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sz="2000" b="1">
                <a:solidFill>
                  <a:srgbClr val="FF0000"/>
                </a:solidFill>
              </a:defRPr>
            </a:pPr>
            <a:endParaRPr lang="en-US"/>
          </a:p>
        </c:txPr>
        <c:crossAx val="353456336"/>
        <c:crosses val="max"/>
        <c:crossBetween val="between"/>
      </c:valAx>
      <c:catAx>
        <c:axId val="353456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345851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 sz="1600">
          <a:solidFill>
            <a:schemeClr val="dk1"/>
          </a:solidFill>
          <a:latin typeface="AngsanaUPC" pitchFamily="18" charset="-34"/>
          <a:ea typeface="+mn-ea"/>
          <a:cs typeface="AngsanaUPC" pitchFamily="18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th-TH" sz="2400"/>
              <a:t>กราฟแสดง</a:t>
            </a:r>
            <a:r>
              <a:rPr lang="en-US" sz="2400"/>
              <a:t> </a:t>
            </a:r>
            <a:r>
              <a:rPr lang="th-TH" sz="2400"/>
              <a:t>ปริมาณการใช้พลังงาน</a:t>
            </a:r>
            <a:r>
              <a:rPr lang="th-TH" sz="2400" baseline="0"/>
              <a:t> </a:t>
            </a:r>
            <a:r>
              <a:rPr lang="en-US" sz="2400" baseline="0"/>
              <a:t> </a:t>
            </a:r>
            <a:r>
              <a:rPr lang="th-TH" sz="2400" baseline="0"/>
              <a:t>ประจำปี </a:t>
            </a:r>
            <a:r>
              <a:rPr lang="en-US" sz="2400" baseline="0"/>
              <a:t>256</a:t>
            </a:r>
            <a:r>
              <a:rPr lang="th-TH" sz="2400" baseline="0"/>
              <a:t>7</a:t>
            </a:r>
            <a:endParaRPr lang="en-US" sz="2400" baseline="0"/>
          </a:p>
          <a:p>
            <a:pPr>
              <a:defRPr sz="2400"/>
            </a:pPr>
            <a:r>
              <a:rPr lang="en-US" sz="2400" baseline="0"/>
              <a:t> </a:t>
            </a:r>
            <a:r>
              <a:rPr lang="th-TH" sz="2400" baseline="0"/>
              <a:t>ก๊าซปิโตรเลียมเหลว ( </a:t>
            </a:r>
            <a:r>
              <a:rPr lang="en-US" sz="2400" baseline="0"/>
              <a:t>LPG : kg/ Month &amp; Baht / kg) </a:t>
            </a:r>
            <a:endParaRPr lang="en-US" sz="2400"/>
          </a:p>
        </c:rich>
      </c:tx>
      <c:layout>
        <c:manualLayout>
          <c:xMode val="edge"/>
          <c:yMode val="edge"/>
          <c:x val="0.13641406250378416"/>
          <c:y val="2.04213616157795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918243116511091"/>
          <c:y val="0.21284454169921863"/>
          <c:w val="0.76138330987209679"/>
          <c:h val="0.6852824365124570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'Energy Factory 2024'!$B$11</c:f>
              <c:strCache>
                <c:ptCount val="1"/>
                <c:pt idx="0">
                  <c:v>LPG( kg. )</c:v>
                </c:pt>
              </c:strCache>
            </c:strRef>
          </c:tx>
          <c:spPr>
            <a:solidFill>
              <a:srgbClr val="FFC000"/>
            </a:solidFill>
            <a:ln w="28575">
              <a:noFill/>
            </a:ln>
          </c:spPr>
          <c:invertIfNegative val="0"/>
          <c:dLbls>
            <c:dLbl>
              <c:idx val="1"/>
              <c:layout>
                <c:manualLayout>
                  <c:x val="-1.2133936960513207E-2"/>
                  <c:y val="8.8535665779174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0F-4FF8-B6FA-91AE55B44413}"/>
                </c:ext>
              </c:extLst>
            </c:dLbl>
            <c:dLbl>
              <c:idx val="2"/>
              <c:layout>
                <c:manualLayout>
                  <c:x val="3.468468886741623E-3"/>
                  <c:y val="0.109976892457473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F-4397-8821-E749F4F2E425}"/>
                </c:ext>
              </c:extLst>
            </c:dLbl>
            <c:dLbl>
              <c:idx val="3"/>
              <c:layout>
                <c:manualLayout>
                  <c:x val="3.4684688867416547E-3"/>
                  <c:y val="6.4692289680866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B-4423-BC2B-093127B827EB}"/>
                </c:ext>
              </c:extLst>
            </c:dLbl>
            <c:dLbl>
              <c:idx val="4"/>
              <c:layout>
                <c:manualLayout>
                  <c:x val="1.0405405239326369E-2"/>
                  <c:y val="4.4701219064914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0F-4FF8-B6FA-91AE55B444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'Energy Factory 2024'!$C$4:$N$4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Factory 2024'!$C$11:$N$11</c:f>
              <c:numCache>
                <c:formatCode>#,##0.00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5F89-4A20-A47E-31167DD349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353462320"/>
        <c:axId val="353460144"/>
      </c:barChart>
      <c:lineChart>
        <c:grouping val="stacked"/>
        <c:varyColors val="0"/>
        <c:ser>
          <c:idx val="0"/>
          <c:order val="1"/>
          <c:tx>
            <c:strRef>
              <c:f>'Energy Factory 2024'!$B$14</c:f>
              <c:strCache>
                <c:ptCount val="1"/>
                <c:pt idx="0">
                  <c:v>LPG ( Baht. / kg. )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 w="57150"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4.4335806266996826E-2"/>
                  <c:y val="-2.8306348740602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9F-4512-9FF7-FC277B35EE13}"/>
                </c:ext>
              </c:extLst>
            </c:dLbl>
            <c:dLbl>
              <c:idx val="1"/>
              <c:layout>
                <c:manualLayout>
                  <c:x val="-4.4927927443159696E-2"/>
                  <c:y val="-3.40168396389318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5B-4423-BC2B-093127B827EB}"/>
                </c:ext>
              </c:extLst>
            </c:dLbl>
            <c:dLbl>
              <c:idx val="2"/>
              <c:layout>
                <c:manualLayout>
                  <c:x val="-4.4927927443159724E-2"/>
                  <c:y val="-2.5218410608827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5B-4423-BC2B-093127B827EB}"/>
                </c:ext>
              </c:extLst>
            </c:dLbl>
            <c:dLbl>
              <c:idx val="3"/>
              <c:layout>
                <c:manualLayout>
                  <c:x val="-4.1162760602539351E-2"/>
                  <c:y val="-3.40168396389318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5B-4423-BC2B-093127B82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Factory 2024'!$C$4:$N$4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Factory 2024'!$C$14:$N$14</c:f>
              <c:numCache>
                <c:formatCode>#,##0.00</c:formatCode>
                <c:ptCount val="12"/>
                <c:pt idx="0">
                  <c:v>23.29</c:v>
                </c:pt>
                <c:pt idx="1">
                  <c:v>23.29</c:v>
                </c:pt>
                <c:pt idx="2">
                  <c:v>23.29</c:v>
                </c:pt>
                <c:pt idx="3">
                  <c:v>23.29</c:v>
                </c:pt>
                <c:pt idx="4">
                  <c:v>23.29</c:v>
                </c:pt>
                <c:pt idx="5">
                  <c:v>23.29</c:v>
                </c:pt>
                <c:pt idx="6">
                  <c:v>23.29</c:v>
                </c:pt>
                <c:pt idx="7">
                  <c:v>23.29</c:v>
                </c:pt>
                <c:pt idx="8">
                  <c:v>23.29</c:v>
                </c:pt>
                <c:pt idx="9">
                  <c:v>23.29</c:v>
                </c:pt>
                <c:pt idx="10">
                  <c:v>22.36</c:v>
                </c:pt>
                <c:pt idx="11">
                  <c:v>22.36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89-4A20-A47E-31167DD34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463408"/>
        <c:axId val="353465584"/>
      </c:lineChart>
      <c:catAx>
        <c:axId val="3534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2000"/>
            </a:pPr>
            <a:endParaRPr lang="en-US"/>
          </a:p>
        </c:txPr>
        <c:crossAx val="353460144"/>
        <c:crosses val="autoZero"/>
        <c:auto val="1"/>
        <c:lblAlgn val="ctr"/>
        <c:lblOffset val="100"/>
        <c:noMultiLvlLbl val="0"/>
      </c:catAx>
      <c:valAx>
        <c:axId val="3534601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2000"/>
                </a:pPr>
                <a:r>
                  <a:rPr lang="en-US" sz="2000"/>
                  <a:t>kg</a:t>
                </a:r>
              </a:p>
            </c:rich>
          </c:tx>
          <c:layout>
            <c:manualLayout>
              <c:xMode val="edge"/>
              <c:yMode val="edge"/>
              <c:x val="2.9055396477471677E-2"/>
              <c:y val="0.12152271586133387"/>
            </c:manualLayout>
          </c:layout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1800" b="1"/>
            </a:pPr>
            <a:endParaRPr lang="en-US"/>
          </a:p>
        </c:txPr>
        <c:crossAx val="353462320"/>
        <c:crosses val="autoZero"/>
        <c:crossBetween val="between"/>
      </c:valAx>
      <c:valAx>
        <c:axId val="353465584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>
                  <a:defRPr sz="1800">
                    <a:solidFill>
                      <a:srgbClr val="FF0000"/>
                    </a:solidFill>
                  </a:defRPr>
                </a:pPr>
                <a:r>
                  <a:rPr lang="en-US" sz="1800">
                    <a:solidFill>
                      <a:srgbClr val="FF0000"/>
                    </a:solidFill>
                  </a:rPr>
                  <a:t>Baht / kg</a:t>
                </a:r>
              </a:p>
            </c:rich>
          </c:tx>
          <c:layout>
            <c:manualLayout>
              <c:xMode val="edge"/>
              <c:yMode val="edge"/>
              <c:x val="0.87963802009207359"/>
              <c:y val="0.1215227158613339"/>
            </c:manualLayout>
          </c:layout>
          <c:overlay val="0"/>
        </c:title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sz="2000" b="1">
                <a:solidFill>
                  <a:srgbClr val="FF0000"/>
                </a:solidFill>
              </a:defRPr>
            </a:pPr>
            <a:endParaRPr lang="en-US"/>
          </a:p>
        </c:txPr>
        <c:crossAx val="353463408"/>
        <c:crosses val="max"/>
        <c:crossBetween val="between"/>
      </c:valAx>
      <c:catAx>
        <c:axId val="353463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3465584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 sz="1600">
          <a:solidFill>
            <a:schemeClr val="dk1"/>
          </a:solidFill>
          <a:latin typeface="AngsanaUPC" pitchFamily="18" charset="-34"/>
          <a:ea typeface="+mn-ea"/>
          <a:cs typeface="AngsanaUPC" pitchFamily="18" charset="-34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th-TH" sz="2400"/>
              <a:t>กราฟแสดง</a:t>
            </a:r>
            <a:r>
              <a:rPr lang="en-US" sz="2400"/>
              <a:t> </a:t>
            </a:r>
            <a:r>
              <a:rPr lang="th-TH" sz="2400"/>
              <a:t>ต้นทุนการใช้พลังงาน</a:t>
            </a:r>
            <a:r>
              <a:rPr lang="th-TH" sz="2400" baseline="0"/>
              <a:t> ประจำปี </a:t>
            </a:r>
            <a:r>
              <a:rPr lang="en-US" sz="2400" baseline="0"/>
              <a:t>256</a:t>
            </a:r>
            <a:r>
              <a:rPr lang="th-TH" sz="2400" baseline="0"/>
              <a:t>7</a:t>
            </a:r>
            <a:r>
              <a:rPr lang="en-US" sz="2400" baseline="0"/>
              <a:t> ( Costs Energy : Baht / Month )</a:t>
            </a:r>
            <a:endParaRPr lang="en-US" sz="2400"/>
          </a:p>
        </c:rich>
      </c:tx>
      <c:layout>
        <c:manualLayout>
          <c:xMode val="edge"/>
          <c:yMode val="edge"/>
          <c:x val="0.15121390642473456"/>
          <c:y val="2.7553507605846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01537844616649"/>
          <c:y val="0.17263958447993558"/>
          <c:w val="0.82571363795227926"/>
          <c:h val="0.64008467350230525"/>
        </c:manualLayout>
      </c:layout>
      <c:barChart>
        <c:barDir val="col"/>
        <c:grouping val="clustered"/>
        <c:varyColors val="0"/>
        <c:ser>
          <c:idx val="0"/>
          <c:order val="0"/>
          <c:tx>
            <c:v>ต้นทุนพลังงานต่อเดือน</c:v>
          </c:tx>
          <c:spPr>
            <a:solidFill>
              <a:schemeClr val="tx2">
                <a:lumMod val="60000"/>
                <a:lumOff val="40000"/>
              </a:schemeClr>
            </a:solidFill>
            <a:ln w="38100">
              <a:solidFill>
                <a:schemeClr val="tx2">
                  <a:lumMod val="60000"/>
                  <a:lumOff val="40000"/>
                </a:schemeClr>
              </a:solidFill>
            </a:ln>
          </c:spPr>
          <c:invertIfNegative val="0"/>
          <c:dLbls>
            <c:dLbl>
              <c:idx val="0"/>
              <c:layout>
                <c:manualLayout>
                  <c:x val="4.084880602478063E-3"/>
                  <c:y val="1.51537543554259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74-48D8-9424-8818DEA31CC7}"/>
                </c:ext>
              </c:extLst>
            </c:dLbl>
            <c:dLbl>
              <c:idx val="1"/>
              <c:layout>
                <c:manualLayout>
                  <c:x val="-9.7641161869452282E-3"/>
                  <c:y val="9.2965245248424178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74-48D8-9424-8818DEA31CC7}"/>
                </c:ext>
              </c:extLst>
            </c:dLbl>
            <c:dLbl>
              <c:idx val="2"/>
              <c:layout>
                <c:manualLayout>
                  <c:x val="1.5633689641738589E-2"/>
                  <c:y val="1.9421423671122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74-48D8-9424-8818DEA31CC7}"/>
                </c:ext>
              </c:extLst>
            </c:dLbl>
            <c:dLbl>
              <c:idx val="3"/>
              <c:layout>
                <c:manualLayout>
                  <c:x val="-2.7232537349854333E-3"/>
                  <c:y val="-8.659288203100535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4-48D8-9424-8818DEA31CC7}"/>
                </c:ext>
              </c:extLst>
            </c:dLbl>
            <c:dLbl>
              <c:idx val="4"/>
              <c:layout>
                <c:manualLayout>
                  <c:x val="2.535548711877467E-3"/>
                  <c:y val="1.29432712304500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12-4B58-8689-F0CC289B160F}"/>
                </c:ext>
              </c:extLst>
            </c:dLbl>
            <c:dLbl>
              <c:idx val="5"/>
              <c:layout>
                <c:manualLayout>
                  <c:x val="2.7003328000707615E-3"/>
                  <c:y val="1.73661766020511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4A-4D83-84F5-D46D6B293CDE}"/>
                </c:ext>
              </c:extLst>
            </c:dLbl>
            <c:dLbl>
              <c:idx val="6"/>
              <c:layout>
                <c:manualLayout>
                  <c:x val="6.7508320001769036E-3"/>
                  <c:y val="4.3415441505127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4A-4D83-84F5-D46D6B293C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Factory 2024'!$C$4:$N$4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Factory 2024'!$C$26:$N$26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C-4C7E-821F-980EFB3DE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axId val="353468304"/>
        <c:axId val="353463952"/>
      </c:barChart>
      <c:lineChart>
        <c:grouping val="stacked"/>
        <c:varyColors val="0"/>
        <c:ser>
          <c:idx val="1"/>
          <c:order val="1"/>
          <c:tx>
            <c:v>ดัชนีต้นทุน ต่อ MJ</c:v>
          </c:tx>
          <c:spPr>
            <a:ln w="34925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3.5714829446049458E-2"/>
                  <c:y val="-4.0190177060284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54-4A8E-9200-838D61EB84A9}"/>
                </c:ext>
              </c:extLst>
            </c:dLbl>
            <c:dLbl>
              <c:idx val="1"/>
              <c:layout>
                <c:manualLayout>
                  <c:x val="-2.6619805259482123E-2"/>
                  <c:y val="2.95498209930805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12-4B58-8689-F0CC289B160F}"/>
                </c:ext>
              </c:extLst>
            </c:dLbl>
            <c:dLbl>
              <c:idx val="2"/>
              <c:layout>
                <c:manualLayout>
                  <c:x val="-2.9348419730166296E-2"/>
                  <c:y val="3.44639670483401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10-42CF-94F4-113FA12008D7}"/>
                </c:ext>
              </c:extLst>
            </c:dLbl>
            <c:dLbl>
              <c:idx val="3"/>
              <c:layout>
                <c:manualLayout>
                  <c:x val="-2.6928031289855145E-2"/>
                  <c:y val="5.04628009905956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74-48D8-9424-8818DEA31CC7}"/>
                </c:ext>
              </c:extLst>
            </c:dLbl>
            <c:dLbl>
              <c:idx val="5"/>
              <c:layout>
                <c:manualLayout>
                  <c:x val="-2.8401749433532329E-2"/>
                  <c:y val="-2.47266219353387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390896722704381E-2"/>
                      <c:h val="7.60927298065536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E4A-4D83-84F5-D46D6B293CDE}"/>
                </c:ext>
              </c:extLst>
            </c:dLbl>
            <c:dLbl>
              <c:idx val="6"/>
              <c:layout>
                <c:manualLayout>
                  <c:x val="-2.3695420320621031E-2"/>
                  <c:y val="-3.33213513551856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4A-4D83-84F5-D46D6B293CDE}"/>
                </c:ext>
              </c:extLst>
            </c:dLbl>
            <c:dLbl>
              <c:idx val="8"/>
              <c:layout>
                <c:manualLayout>
                  <c:x val="-1.8313679265362794E-2"/>
                  <c:y val="5.37416685006579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44-4A00-B0E6-888807B43100}"/>
                </c:ext>
              </c:extLst>
            </c:dLbl>
            <c:dLbl>
              <c:idx val="9"/>
              <c:layout>
                <c:manualLayout>
                  <c:x val="-1.6962116219948573E-2"/>
                  <c:y val="-6.61687480322503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44-4A00-B0E6-888807B431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Factory 2024'!$C$30:$N$30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AC-4C7E-821F-980EFB3DE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464496"/>
        <c:axId val="353456880"/>
      </c:lineChart>
      <c:catAx>
        <c:axId val="35346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2400"/>
            </a:pPr>
            <a:endParaRPr lang="en-US"/>
          </a:p>
        </c:txPr>
        <c:crossAx val="353463952"/>
        <c:crosses val="autoZero"/>
        <c:auto val="1"/>
        <c:lblAlgn val="ctr"/>
        <c:lblOffset val="100"/>
        <c:noMultiLvlLbl val="0"/>
      </c:catAx>
      <c:valAx>
        <c:axId val="353463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Baht</a:t>
                </a:r>
              </a:p>
            </c:rich>
          </c:tx>
          <c:layout>
            <c:manualLayout>
              <c:xMode val="edge"/>
              <c:yMode val="edge"/>
              <c:x val="5.64809797255326E-2"/>
              <c:y val="9.9996455507977935E-2"/>
            </c:manualLayout>
          </c:layout>
          <c:overlay val="0"/>
        </c:title>
        <c:numFmt formatCode="#,##0.00" sourceLinked="1"/>
        <c:majorTickMark val="none"/>
        <c:minorTickMark val="none"/>
        <c:tickLblPos val="nextTo"/>
        <c:crossAx val="353468304"/>
        <c:crosses val="autoZero"/>
        <c:crossBetween val="between"/>
      </c:valAx>
      <c:valAx>
        <c:axId val="353456880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Bath / MJ</a:t>
                </a:r>
              </a:p>
            </c:rich>
          </c:tx>
          <c:layout>
            <c:manualLayout>
              <c:xMode val="edge"/>
              <c:yMode val="edge"/>
              <c:x val="0.91984099859764357"/>
              <c:y val="9.9996455507977935E-2"/>
            </c:manualLayout>
          </c:layout>
          <c:overlay val="0"/>
        </c:title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FF0000"/>
                </a:solidFill>
              </a:defRPr>
            </a:pPr>
            <a:endParaRPr lang="en-US"/>
          </a:p>
        </c:txPr>
        <c:crossAx val="353464496"/>
        <c:crosses val="max"/>
        <c:crossBetween val="between"/>
      </c:valAx>
      <c:catAx>
        <c:axId val="353464496"/>
        <c:scaling>
          <c:orientation val="minMax"/>
        </c:scaling>
        <c:delete val="1"/>
        <c:axPos val="b"/>
        <c:majorTickMark val="out"/>
        <c:minorTickMark val="none"/>
        <c:tickLblPos val="nextTo"/>
        <c:crossAx val="353456880"/>
        <c:crosses val="autoZero"/>
        <c:auto val="1"/>
        <c:lblAlgn val="ctr"/>
        <c:lblOffset val="100"/>
        <c:noMultiLvlLbl val="0"/>
      </c:catAx>
    </c:plotArea>
    <c:legend>
      <c:legendPos val="r"/>
      <c:legendEntry>
        <c:idx val="0"/>
        <c:txPr>
          <a:bodyPr/>
          <a:lstStyle/>
          <a:p>
            <a:pPr>
              <a:defRPr sz="1800" b="1"/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800" b="1"/>
            </a:pPr>
            <a:endParaRPr lang="en-US"/>
          </a:p>
        </c:txPr>
      </c:legendEntry>
      <c:layout>
        <c:manualLayout>
          <c:xMode val="edge"/>
          <c:yMode val="edge"/>
          <c:x val="0.12809369588426703"/>
          <c:y val="0.89972484979868439"/>
          <c:w val="0.80204127307133533"/>
          <c:h val="9.8094927015396238E-2"/>
        </c:manualLayout>
      </c:layout>
      <c:overlay val="0"/>
      <c:txPr>
        <a:bodyPr/>
        <a:lstStyle/>
        <a:p>
          <a:pPr>
            <a:defRPr sz="1800"/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 sz="1600">
          <a:solidFill>
            <a:schemeClr val="dk1"/>
          </a:solidFill>
          <a:latin typeface="AngsanaUPC" pitchFamily="18" charset="-34"/>
          <a:ea typeface="+mn-ea"/>
          <a:cs typeface="AngsanaUPC" pitchFamily="18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สัดส่วนการใช้พลังงานไฟฟ้าและแก๊ส </a:t>
            </a:r>
            <a:r>
              <a:rPr lang="en-US"/>
              <a:t>LPG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1261728727614702E-2"/>
          <c:y val="0.17509247166235201"/>
          <c:w val="0.91747654254477062"/>
          <c:h val="0.7246848974143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'Energy Factory 2024'!$B$20:$B$21</c:f>
              <c:strCache>
                <c:ptCount val="2"/>
                <c:pt idx="0">
                  <c:v>% EE ( MJ. )</c:v>
                </c:pt>
                <c:pt idx="1">
                  <c:v>% LPG ( MJ. )</c:v>
                </c:pt>
              </c:strCache>
            </c:strRef>
          </c:tx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1-EAC8-446D-B009-C8BAC4CCA37E}"/>
              </c:ext>
            </c:extLst>
          </c:dPt>
          <c:dLbls>
            <c:dLbl>
              <c:idx val="0"/>
              <c:layout>
                <c:manualLayout>
                  <c:x val="0"/>
                  <c:y val="1.3053613692521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C8-446D-B009-C8BAC4CCA37E}"/>
                </c:ext>
              </c:extLst>
            </c:dLbl>
            <c:dLbl>
              <c:idx val="1"/>
              <c:layout>
                <c:manualLayout>
                  <c:x val="-7.472102434875773E-3"/>
                  <c:y val="8.63697779225586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C8-446D-B009-C8BAC4CCA3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'Energy Factory 2024'!$B$20:$B$21</c:f>
              <c:strCache>
                <c:ptCount val="2"/>
                <c:pt idx="0">
                  <c:v>% EE ( MJ. )</c:v>
                </c:pt>
                <c:pt idx="1">
                  <c:v>% LPG ( MJ. )</c:v>
                </c:pt>
              </c:strCache>
            </c:strRef>
          </c:cat>
          <c:val>
            <c:numRef>
              <c:f>'Energy Factory 2024'!$O$20:$O$21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C8-446D-B009-C8BAC4CCA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353468848"/>
        <c:axId val="353466128"/>
      </c:barChart>
      <c:catAx>
        <c:axId val="353468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53466128"/>
        <c:crosses val="autoZero"/>
        <c:auto val="1"/>
        <c:lblAlgn val="ctr"/>
        <c:lblOffset val="100"/>
        <c:noMultiLvlLbl val="0"/>
      </c:catAx>
      <c:valAx>
        <c:axId val="353466128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3534688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147438</xdr:colOff>
      <xdr:row>3</xdr:row>
      <xdr:rowOff>46879</xdr:rowOff>
    </xdr:from>
    <xdr:to>
      <xdr:col>37</xdr:col>
      <xdr:colOff>517071</xdr:colOff>
      <xdr:row>16</xdr:row>
      <xdr:rowOff>150813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85355</xdr:colOff>
      <xdr:row>30</xdr:row>
      <xdr:rowOff>214312</xdr:rowOff>
    </xdr:from>
    <xdr:to>
      <xdr:col>6</xdr:col>
      <xdr:colOff>536863</xdr:colOff>
      <xdr:row>47</xdr:row>
      <xdr:rowOff>149369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628403</xdr:colOff>
      <xdr:row>30</xdr:row>
      <xdr:rowOff>225135</xdr:rowOff>
    </xdr:from>
    <xdr:to>
      <xdr:col>14</xdr:col>
      <xdr:colOff>1500187</xdr:colOff>
      <xdr:row>47</xdr:row>
      <xdr:rowOff>144727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24741</xdr:colOff>
      <xdr:row>30</xdr:row>
      <xdr:rowOff>121227</xdr:rowOff>
    </xdr:from>
    <xdr:to>
      <xdr:col>25</xdr:col>
      <xdr:colOff>329046</xdr:colOff>
      <xdr:row>47</xdr:row>
      <xdr:rowOff>150770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432955</xdr:colOff>
      <xdr:row>30</xdr:row>
      <xdr:rowOff>89210</xdr:rowOff>
    </xdr:from>
    <xdr:to>
      <xdr:col>37</xdr:col>
      <xdr:colOff>476250</xdr:colOff>
      <xdr:row>47</xdr:row>
      <xdr:rowOff>195593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173181</xdr:colOff>
      <xdr:row>16</xdr:row>
      <xdr:rowOff>333375</xdr:rowOff>
    </xdr:from>
    <xdr:to>
      <xdr:col>31</xdr:col>
      <xdr:colOff>598714</xdr:colOff>
      <xdr:row>29</xdr:row>
      <xdr:rowOff>346363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762000</xdr:colOff>
      <xdr:row>16</xdr:row>
      <xdr:rowOff>332758</xdr:rowOff>
    </xdr:from>
    <xdr:to>
      <xdr:col>37</xdr:col>
      <xdr:colOff>541811</xdr:colOff>
      <xdr:row>29</xdr:row>
      <xdr:rowOff>332757</xdr:rowOff>
    </xdr:to>
    <xdr:graphicFrame macro="">
      <xdr:nvGraphicFramePr>
        <xdr:cNvPr id="8" name="แผนภูมิ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304800</xdr:colOff>
      <xdr:row>1</xdr:row>
      <xdr:rowOff>176893</xdr:rowOff>
    </xdr:from>
    <xdr:to>
      <xdr:col>1</xdr:col>
      <xdr:colOff>1643743</xdr:colOff>
      <xdr:row>2</xdr:row>
      <xdr:rowOff>634093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32B6D6C-ACDD-49BE-98E7-1CAEC4711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9793"/>
          <a:ext cx="1338943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B74"/>
  <sheetViews>
    <sheetView showGridLines="0" view="pageBreakPreview" topLeftCell="A19" zoomScale="70" zoomScaleNormal="40" zoomScaleSheetLayoutView="70" workbookViewId="0">
      <selection activeCell="C11" sqref="C11:N13"/>
    </sheetView>
  </sheetViews>
  <sheetFormatPr defaultColWidth="9.140625" defaultRowHeight="23.25"/>
  <cols>
    <col min="1" max="1" width="4.7109375" style="1" customWidth="1"/>
    <col min="2" max="2" width="28.28515625" style="2" customWidth="1"/>
    <col min="3" max="3" width="23.140625" style="2" customWidth="1"/>
    <col min="4" max="4" width="24.5703125" style="2" customWidth="1"/>
    <col min="5" max="5" width="22.28515625" style="2" customWidth="1"/>
    <col min="6" max="6" width="24.5703125" style="2" customWidth="1"/>
    <col min="7" max="7" width="24.28515625" style="4" customWidth="1"/>
    <col min="8" max="8" width="20.28515625" style="2" customWidth="1"/>
    <col min="9" max="9" width="22.7109375" style="2" customWidth="1"/>
    <col min="10" max="10" width="18.140625" style="2" customWidth="1"/>
    <col min="11" max="11" width="19.42578125" style="2" bestFit="1" customWidth="1"/>
    <col min="12" max="14" width="13.42578125" style="2" customWidth="1"/>
    <col min="15" max="16" width="25.28515625" style="2" customWidth="1"/>
    <col min="17" max="17" width="4.7109375" style="1" customWidth="1"/>
    <col min="18" max="18" width="3.85546875" style="1" customWidth="1"/>
    <col min="19" max="19" width="15.85546875" style="1" bestFit="1" customWidth="1"/>
    <col min="20" max="31" width="9.140625" style="1"/>
    <col min="32" max="32" width="14" style="1" customWidth="1"/>
    <col min="33" max="33" width="9.140625" style="1"/>
    <col min="34" max="34" width="7.42578125" style="1" customWidth="1"/>
    <col min="35" max="35" width="5.140625" style="1" customWidth="1"/>
    <col min="36" max="37" width="9.140625" style="1"/>
    <col min="38" max="38" width="9.140625" style="2"/>
    <col min="39" max="39" width="4.42578125" style="2" customWidth="1"/>
    <col min="40" max="41" width="9.140625" style="2"/>
    <col min="42" max="42" width="19.140625" style="2" customWidth="1"/>
    <col min="43" max="43" width="11.7109375" style="2" bestFit="1" customWidth="1"/>
    <col min="44" max="44" width="19.42578125" style="2" bestFit="1" customWidth="1"/>
    <col min="45" max="48" width="12.85546875" style="2" bestFit="1" customWidth="1"/>
    <col min="49" max="54" width="14.7109375" style="2" customWidth="1"/>
    <col min="55" max="16384" width="9.140625" style="2"/>
  </cols>
  <sheetData>
    <row r="1" spans="1:54" s="1" customFormat="1" ht="26.25" customHeight="1">
      <c r="G1" s="3"/>
    </row>
    <row r="2" spans="1:54" ht="69">
      <c r="B2" s="50" t="s">
        <v>51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54" ht="69">
      <c r="B3" s="51" t="s">
        <v>66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</row>
    <row r="4" spans="1:54" s="20" customFormat="1" ht="35.25" customHeight="1">
      <c r="A4" s="19"/>
      <c r="B4" s="32" t="s">
        <v>0</v>
      </c>
      <c r="C4" s="32" t="s">
        <v>1</v>
      </c>
      <c r="D4" s="32" t="s">
        <v>2</v>
      </c>
      <c r="E4" s="32" t="s">
        <v>3</v>
      </c>
      <c r="F4" s="32" t="s">
        <v>4</v>
      </c>
      <c r="G4" s="43" t="s">
        <v>5</v>
      </c>
      <c r="H4" s="32" t="s">
        <v>6</v>
      </c>
      <c r="I4" s="32" t="s">
        <v>7</v>
      </c>
      <c r="J4" s="32" t="s">
        <v>8</v>
      </c>
      <c r="K4" s="32" t="s">
        <v>9</v>
      </c>
      <c r="L4" s="32" t="s">
        <v>10</v>
      </c>
      <c r="M4" s="32" t="s">
        <v>11</v>
      </c>
      <c r="N4" s="32" t="s">
        <v>12</v>
      </c>
      <c r="O4" s="32" t="s">
        <v>13</v>
      </c>
      <c r="P4" s="32" t="s">
        <v>14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P4" s="7" t="s">
        <v>27</v>
      </c>
      <c r="AQ4" s="7" t="s">
        <v>1</v>
      </c>
      <c r="AR4" s="7" t="s">
        <v>2</v>
      </c>
      <c r="AS4" s="7" t="s">
        <v>3</v>
      </c>
      <c r="AT4" s="7" t="s">
        <v>4</v>
      </c>
      <c r="AU4" s="7" t="s">
        <v>5</v>
      </c>
      <c r="AV4" s="7" t="s">
        <v>6</v>
      </c>
      <c r="AW4" s="7" t="s">
        <v>7</v>
      </c>
      <c r="AX4" s="7" t="s">
        <v>8</v>
      </c>
      <c r="AY4" s="7" t="s">
        <v>9</v>
      </c>
      <c r="AZ4" s="7" t="s">
        <v>10</v>
      </c>
      <c r="BA4" s="7" t="s">
        <v>11</v>
      </c>
      <c r="BB4" s="7" t="s">
        <v>12</v>
      </c>
    </row>
    <row r="5" spans="1:54" s="4" customFormat="1" ht="35.25" customHeight="1">
      <c r="A5" s="3"/>
      <c r="B5" s="21" t="s">
        <v>15</v>
      </c>
      <c r="C5" s="22"/>
      <c r="D5" s="22"/>
      <c r="E5" s="22"/>
      <c r="F5" s="22"/>
      <c r="G5" s="44"/>
      <c r="H5" s="22"/>
      <c r="I5" s="22"/>
      <c r="J5" s="22"/>
      <c r="K5" s="22"/>
      <c r="L5" s="22"/>
      <c r="M5" s="22"/>
      <c r="N5" s="22"/>
      <c r="O5" s="33" t="s">
        <v>13</v>
      </c>
      <c r="P5" s="33" t="s">
        <v>14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20"/>
      <c r="AL5" s="20"/>
      <c r="AP5" s="8" t="s">
        <v>37</v>
      </c>
      <c r="AQ5" s="9" t="s">
        <v>36</v>
      </c>
      <c r="AR5" s="9">
        <v>102561.2</v>
      </c>
      <c r="AS5" s="10">
        <v>73168.55</v>
      </c>
      <c r="AT5" s="10">
        <v>28913.100000000009</v>
      </c>
      <c r="AU5" s="10">
        <v>20836.400000000009</v>
      </c>
      <c r="AV5" s="10">
        <v>6769.4000000000005</v>
      </c>
      <c r="AW5" s="10"/>
      <c r="AX5" s="10"/>
      <c r="AY5" s="10"/>
      <c r="AZ5" s="10"/>
      <c r="BA5" s="10"/>
      <c r="BB5" s="10"/>
    </row>
    <row r="6" spans="1:54" s="5" customFormat="1" ht="35.25" customHeight="1">
      <c r="B6" s="42" t="s">
        <v>16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45">
        <f>SUM(C6:N6)</f>
        <v>0</v>
      </c>
      <c r="P6" s="45" t="e">
        <f>AVERAGE(C6:N6)</f>
        <v>#DIV/0!</v>
      </c>
      <c r="Q6" s="25"/>
      <c r="R6" s="25"/>
      <c r="S6" s="26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spans="1:54" s="5" customFormat="1" ht="35.25" customHeight="1">
      <c r="B7" s="42" t="s">
        <v>17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45">
        <f>SUM(C7:N7)</f>
        <v>0</v>
      </c>
      <c r="P7" s="45" t="e">
        <f>AVERAGE(C7:N7)</f>
        <v>#DIV/0!</v>
      </c>
      <c r="Q7" s="25"/>
      <c r="R7" s="25"/>
      <c r="S7" s="26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spans="1:54" s="5" customFormat="1" ht="35.25" customHeight="1">
      <c r="B8" s="42" t="s">
        <v>18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45">
        <f>SUM(C8:N8)</f>
        <v>0</v>
      </c>
      <c r="P8" s="45" t="e">
        <f>AVERAGE(C8:N8)</f>
        <v>#DIV/0!</v>
      </c>
      <c r="Q8" s="25"/>
      <c r="R8" s="25"/>
      <c r="S8" s="26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</row>
    <row r="9" spans="1:54" s="5" customFormat="1" ht="35.25" customHeight="1">
      <c r="B9" s="42" t="s">
        <v>19</v>
      </c>
      <c r="C9" s="24" t="e">
        <f>C8/C6</f>
        <v>#DIV/0!</v>
      </c>
      <c r="D9" s="24" t="e">
        <f t="shared" ref="D9:H9" si="0">D8/D6</f>
        <v>#DIV/0!</v>
      </c>
      <c r="E9" s="24" t="e">
        <f t="shared" si="0"/>
        <v>#DIV/0!</v>
      </c>
      <c r="F9" s="24" t="e">
        <f t="shared" si="0"/>
        <v>#DIV/0!</v>
      </c>
      <c r="G9" s="24" t="e">
        <f t="shared" si="0"/>
        <v>#DIV/0!</v>
      </c>
      <c r="H9" s="24" t="e">
        <f t="shared" si="0"/>
        <v>#DIV/0!</v>
      </c>
      <c r="I9" s="24" t="e">
        <f t="shared" ref="I9:N9" si="1">I8/I6</f>
        <v>#DIV/0!</v>
      </c>
      <c r="J9" s="24" t="e">
        <f t="shared" si="1"/>
        <v>#DIV/0!</v>
      </c>
      <c r="K9" s="24" t="e">
        <f t="shared" si="1"/>
        <v>#DIV/0!</v>
      </c>
      <c r="L9" s="24" t="e">
        <f t="shared" si="1"/>
        <v>#DIV/0!</v>
      </c>
      <c r="M9" s="24" t="e">
        <f t="shared" si="1"/>
        <v>#DIV/0!</v>
      </c>
      <c r="N9" s="24" t="e">
        <f t="shared" si="1"/>
        <v>#DIV/0!</v>
      </c>
      <c r="O9" s="49" t="e">
        <f>AVERAGE(C9:N9)</f>
        <v>#DIV/0!</v>
      </c>
      <c r="P9" s="49"/>
      <c r="Q9" s="25"/>
      <c r="R9" s="25"/>
      <c r="S9" s="26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</row>
    <row r="10" spans="1:54" s="37" customFormat="1" ht="35.25" customHeight="1">
      <c r="A10" s="35"/>
      <c r="B10" s="36" t="s">
        <v>39</v>
      </c>
      <c r="C10" s="33"/>
      <c r="D10" s="33"/>
      <c r="E10" s="33"/>
      <c r="F10" s="33"/>
      <c r="G10" s="34"/>
      <c r="H10" s="34"/>
      <c r="I10" s="33"/>
      <c r="J10" s="33"/>
      <c r="K10" s="33"/>
      <c r="L10" s="33"/>
      <c r="M10" s="33"/>
      <c r="N10" s="33"/>
      <c r="O10" s="33" t="s">
        <v>13</v>
      </c>
      <c r="P10" s="33" t="s">
        <v>14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</row>
    <row r="11" spans="1:54" s="5" customFormat="1" ht="35.25" customHeight="1">
      <c r="B11" s="42" t="s">
        <v>40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45">
        <f>SUM(C11:N11)</f>
        <v>0</v>
      </c>
      <c r="P11" s="45" t="e">
        <f>AVERAGE(C11:N11)</f>
        <v>#DIV/0!</v>
      </c>
      <c r="Q11" s="25"/>
      <c r="R11" s="25"/>
      <c r="S11" s="26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T11" s="4"/>
    </row>
    <row r="12" spans="1:54" s="5" customFormat="1" ht="35.25" customHeight="1">
      <c r="B12" s="42" t="s">
        <v>41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45">
        <f>SUM(C12:N12)</f>
        <v>0</v>
      </c>
      <c r="P12" s="45" t="e">
        <f>AVERAGE(C12:N12)</f>
        <v>#DIV/0!</v>
      </c>
      <c r="Q12" s="25"/>
      <c r="R12" s="25"/>
      <c r="S12" s="26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spans="1:54" s="5" customFormat="1" ht="35.25" customHeight="1">
      <c r="B13" s="42" t="s">
        <v>42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45">
        <f>SUM(C13:N13)</f>
        <v>0</v>
      </c>
      <c r="P13" s="45" t="e">
        <f>AVERAGE(C13:N13)</f>
        <v>#DIV/0!</v>
      </c>
      <c r="Q13" s="25"/>
      <c r="R13" s="25"/>
      <c r="S13" s="26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spans="1:54" s="5" customFormat="1" ht="35.25" customHeight="1">
      <c r="B14" s="42" t="s">
        <v>43</v>
      </c>
      <c r="C14" s="24">
        <v>23.29</v>
      </c>
      <c r="D14" s="24">
        <v>23.29</v>
      </c>
      <c r="E14" s="24">
        <v>23.29</v>
      </c>
      <c r="F14" s="24">
        <v>23.29</v>
      </c>
      <c r="G14" s="24">
        <v>23.29</v>
      </c>
      <c r="H14" s="24">
        <v>23.29</v>
      </c>
      <c r="I14" s="24">
        <v>23.29</v>
      </c>
      <c r="J14" s="24">
        <v>23.29</v>
      </c>
      <c r="K14" s="24">
        <v>23.29</v>
      </c>
      <c r="L14" s="24">
        <v>23.29</v>
      </c>
      <c r="M14" s="24">
        <v>22.36</v>
      </c>
      <c r="N14" s="24">
        <v>22.36</v>
      </c>
      <c r="O14" s="49">
        <f>AVERAGE(C14:N14)</f>
        <v>23.134999999999994</v>
      </c>
      <c r="P14" s="49"/>
      <c r="Q14" s="25"/>
      <c r="R14" s="25"/>
      <c r="S14" s="26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spans="1:54" s="37" customFormat="1" ht="35.25" customHeight="1">
      <c r="A15" s="35"/>
      <c r="B15" s="36" t="s">
        <v>20</v>
      </c>
      <c r="C15" s="33"/>
      <c r="D15" s="33"/>
      <c r="E15" s="33"/>
      <c r="F15" s="33"/>
      <c r="G15" s="34"/>
      <c r="H15" s="34"/>
      <c r="I15" s="33"/>
      <c r="J15" s="33"/>
      <c r="K15" s="33"/>
      <c r="L15" s="33"/>
      <c r="M15" s="33"/>
      <c r="N15" s="33"/>
      <c r="O15" s="33" t="s">
        <v>13</v>
      </c>
      <c r="P15" s="33" t="s">
        <v>14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</row>
    <row r="16" spans="1:54" s="5" customFormat="1" ht="35.25" customHeight="1">
      <c r="B16" s="30" t="s">
        <v>17</v>
      </c>
      <c r="C16" s="24">
        <f>C7</f>
        <v>0</v>
      </c>
      <c r="D16" s="24">
        <f t="shared" ref="D16:F16" si="2">D7</f>
        <v>0</v>
      </c>
      <c r="E16" s="24">
        <f t="shared" si="2"/>
        <v>0</v>
      </c>
      <c r="F16" s="24">
        <f t="shared" si="2"/>
        <v>0</v>
      </c>
      <c r="G16" s="24">
        <f>G7</f>
        <v>0</v>
      </c>
      <c r="H16" s="24">
        <f t="shared" ref="H16" si="3">H7</f>
        <v>0</v>
      </c>
      <c r="I16" s="24">
        <f t="shared" ref="I16:J16" si="4">I7</f>
        <v>0</v>
      </c>
      <c r="J16" s="24">
        <f t="shared" si="4"/>
        <v>0</v>
      </c>
      <c r="K16" s="24">
        <f t="shared" ref="K16" si="5">K7</f>
        <v>0</v>
      </c>
      <c r="L16" s="24">
        <f>L7</f>
        <v>0</v>
      </c>
      <c r="M16" s="24">
        <f>M7</f>
        <v>0</v>
      </c>
      <c r="N16" s="24">
        <f>N7</f>
        <v>0</v>
      </c>
      <c r="O16" s="45">
        <f>SUM(C16:N16)</f>
        <v>0</v>
      </c>
      <c r="P16" s="45">
        <f>AVERAGE(C16:N16)</f>
        <v>0</v>
      </c>
      <c r="Q16" s="25"/>
      <c r="R16" s="25"/>
      <c r="S16" s="26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spans="1:38" s="5" customFormat="1" ht="35.25" customHeight="1">
      <c r="B17" s="30" t="s">
        <v>41</v>
      </c>
      <c r="C17" s="24">
        <f>C12</f>
        <v>0</v>
      </c>
      <c r="D17" s="24">
        <f t="shared" ref="D17:F17" si="6">D12</f>
        <v>0</v>
      </c>
      <c r="E17" s="24">
        <f t="shared" si="6"/>
        <v>0</v>
      </c>
      <c r="F17" s="24">
        <f t="shared" si="6"/>
        <v>0</v>
      </c>
      <c r="G17" s="24">
        <f>G12</f>
        <v>0</v>
      </c>
      <c r="H17" s="24">
        <f t="shared" ref="H17" si="7">H12</f>
        <v>0</v>
      </c>
      <c r="I17" s="24">
        <f t="shared" ref="I17:J17" si="8">I12</f>
        <v>0</v>
      </c>
      <c r="J17" s="24">
        <f t="shared" si="8"/>
        <v>0</v>
      </c>
      <c r="K17" s="24">
        <f t="shared" ref="K17" si="9">K12</f>
        <v>0</v>
      </c>
      <c r="L17" s="24">
        <f>L12</f>
        <v>0</v>
      </c>
      <c r="M17" s="24">
        <f>M12</f>
        <v>0</v>
      </c>
      <c r="N17" s="24">
        <f>N12</f>
        <v>0</v>
      </c>
      <c r="O17" s="45">
        <f>SUM(C17:N17)</f>
        <v>0</v>
      </c>
      <c r="P17" s="45">
        <f>AVERAGE(C17:N17)</f>
        <v>0</v>
      </c>
      <c r="Q17" s="25"/>
      <c r="R17" s="25"/>
      <c r="S17" s="26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spans="1:38" s="5" customFormat="1" ht="35.25" customHeight="1">
      <c r="B18" s="30" t="s">
        <v>44</v>
      </c>
      <c r="C18" s="24">
        <f>SUM(C16:C17)</f>
        <v>0</v>
      </c>
      <c r="D18" s="24">
        <f t="shared" ref="D18:F18" si="10">SUM(D16:D17)</f>
        <v>0</v>
      </c>
      <c r="E18" s="24">
        <f t="shared" si="10"/>
        <v>0</v>
      </c>
      <c r="F18" s="24">
        <f t="shared" si="10"/>
        <v>0</v>
      </c>
      <c r="G18" s="24">
        <f>SUM(G16:G17)</f>
        <v>0</v>
      </c>
      <c r="H18" s="24">
        <f t="shared" ref="H18" si="11">SUM(H16:H17)</f>
        <v>0</v>
      </c>
      <c r="I18" s="24">
        <f t="shared" ref="I18:J18" si="12">SUM(I16:I17)</f>
        <v>0</v>
      </c>
      <c r="J18" s="24">
        <f t="shared" si="12"/>
        <v>0</v>
      </c>
      <c r="K18" s="24">
        <f t="shared" ref="K18:N18" si="13">SUM(K16:K17)</f>
        <v>0</v>
      </c>
      <c r="L18" s="24">
        <f t="shared" si="13"/>
        <v>0</v>
      </c>
      <c r="M18" s="24">
        <f t="shared" si="13"/>
        <v>0</v>
      </c>
      <c r="N18" s="24">
        <f t="shared" si="13"/>
        <v>0</v>
      </c>
      <c r="O18" s="45">
        <f>SUM(C18:N18)</f>
        <v>0</v>
      </c>
      <c r="P18" s="45">
        <f>AVERAGE(C18:N18)</f>
        <v>0</v>
      </c>
      <c r="Q18" s="25"/>
      <c r="R18" s="25"/>
      <c r="S18" s="26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 spans="1:38" s="40" customFormat="1" ht="35.25" customHeight="1">
      <c r="A19" s="38"/>
      <c r="B19" s="39" t="s">
        <v>21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3" t="s">
        <v>14</v>
      </c>
      <c r="P19" s="46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</row>
    <row r="20" spans="1:38" s="5" customFormat="1" ht="35.25" customHeight="1">
      <c r="B20" s="30" t="s">
        <v>22</v>
      </c>
      <c r="C20" s="47" t="e">
        <f>C16/C18</f>
        <v>#DIV/0!</v>
      </c>
      <c r="D20" s="47" t="e">
        <f t="shared" ref="D20:F20" si="14">D16/D18</f>
        <v>#DIV/0!</v>
      </c>
      <c r="E20" s="47" t="e">
        <f t="shared" si="14"/>
        <v>#DIV/0!</v>
      </c>
      <c r="F20" s="47" t="e">
        <f t="shared" si="14"/>
        <v>#DIV/0!</v>
      </c>
      <c r="G20" s="47" t="e">
        <f t="shared" ref="G20:H20" si="15">G16/G18</f>
        <v>#DIV/0!</v>
      </c>
      <c r="H20" s="47" t="e">
        <f t="shared" si="15"/>
        <v>#DIV/0!</v>
      </c>
      <c r="I20" s="47" t="e">
        <f t="shared" ref="I20:J20" si="16">I16/I18</f>
        <v>#DIV/0!</v>
      </c>
      <c r="J20" s="47" t="e">
        <f t="shared" si="16"/>
        <v>#DIV/0!</v>
      </c>
      <c r="K20" s="47" t="e">
        <f t="shared" ref="K20:N20" si="17">K16/K18</f>
        <v>#DIV/0!</v>
      </c>
      <c r="L20" s="47" t="e">
        <f t="shared" si="17"/>
        <v>#DIV/0!</v>
      </c>
      <c r="M20" s="47" t="e">
        <f t="shared" si="17"/>
        <v>#DIV/0!</v>
      </c>
      <c r="N20" s="47" t="e">
        <f t="shared" si="17"/>
        <v>#DIV/0!</v>
      </c>
      <c r="O20" s="48" t="e">
        <f>O16/O18</f>
        <v>#DIV/0!</v>
      </c>
      <c r="P20" s="48" t="e">
        <f>P16/P18</f>
        <v>#DIV/0!</v>
      </c>
      <c r="Q20" s="25"/>
      <c r="R20" s="25"/>
      <c r="S20" s="26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spans="1:38" s="5" customFormat="1" ht="35.25" customHeight="1">
      <c r="B21" s="30" t="s">
        <v>45</v>
      </c>
      <c r="C21" s="47" t="e">
        <f>C17/C18</f>
        <v>#DIV/0!</v>
      </c>
      <c r="D21" s="47" t="e">
        <f t="shared" ref="D21:F21" si="18">D17/D18</f>
        <v>#DIV/0!</v>
      </c>
      <c r="E21" s="47" t="e">
        <f t="shared" si="18"/>
        <v>#DIV/0!</v>
      </c>
      <c r="F21" s="47" t="e">
        <f t="shared" si="18"/>
        <v>#DIV/0!</v>
      </c>
      <c r="G21" s="47" t="e">
        <f t="shared" ref="G21:H21" si="19">G17/G18</f>
        <v>#DIV/0!</v>
      </c>
      <c r="H21" s="47" t="e">
        <f t="shared" si="19"/>
        <v>#DIV/0!</v>
      </c>
      <c r="I21" s="47" t="e">
        <f t="shared" ref="I21:J21" si="20">I17/I18</f>
        <v>#DIV/0!</v>
      </c>
      <c r="J21" s="47" t="e">
        <f t="shared" si="20"/>
        <v>#DIV/0!</v>
      </c>
      <c r="K21" s="47" t="e">
        <f t="shared" ref="K21:N21" si="21">K17/K18</f>
        <v>#DIV/0!</v>
      </c>
      <c r="L21" s="47" t="e">
        <f t="shared" si="21"/>
        <v>#DIV/0!</v>
      </c>
      <c r="M21" s="47" t="e">
        <f t="shared" si="21"/>
        <v>#DIV/0!</v>
      </c>
      <c r="N21" s="47" t="e">
        <f t="shared" si="21"/>
        <v>#DIV/0!</v>
      </c>
      <c r="O21" s="48" t="e">
        <f>O17/O18</f>
        <v>#DIV/0!</v>
      </c>
      <c r="P21" s="48" t="e">
        <f>P17/P18</f>
        <v>#DIV/0!</v>
      </c>
      <c r="Q21" s="25"/>
      <c r="R21" s="25"/>
      <c r="S21" s="26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spans="1:38" s="5" customFormat="1" ht="35.25" customHeight="1">
      <c r="B22" s="30" t="s">
        <v>46</v>
      </c>
      <c r="C22" s="47" t="e">
        <f>SUM(C20:C21)</f>
        <v>#DIV/0!</v>
      </c>
      <c r="D22" s="47" t="e">
        <f t="shared" ref="D22:F22" si="22">SUM(D20:D21)</f>
        <v>#DIV/0!</v>
      </c>
      <c r="E22" s="47" t="e">
        <f t="shared" si="22"/>
        <v>#DIV/0!</v>
      </c>
      <c r="F22" s="47" t="e">
        <f t="shared" si="22"/>
        <v>#DIV/0!</v>
      </c>
      <c r="G22" s="47" t="e">
        <f t="shared" ref="G22:H22" si="23">SUM(G20:G21)</f>
        <v>#DIV/0!</v>
      </c>
      <c r="H22" s="47" t="e">
        <f t="shared" si="23"/>
        <v>#DIV/0!</v>
      </c>
      <c r="I22" s="47" t="e">
        <f t="shared" ref="I22:J22" si="24">SUM(I20:I21)</f>
        <v>#DIV/0!</v>
      </c>
      <c r="J22" s="47" t="e">
        <f t="shared" si="24"/>
        <v>#DIV/0!</v>
      </c>
      <c r="K22" s="47" t="e">
        <f t="shared" ref="K22:N22" si="25">SUM(K20:K21)</f>
        <v>#DIV/0!</v>
      </c>
      <c r="L22" s="47" t="e">
        <f t="shared" si="25"/>
        <v>#DIV/0!</v>
      </c>
      <c r="M22" s="47" t="e">
        <f t="shared" si="25"/>
        <v>#DIV/0!</v>
      </c>
      <c r="N22" s="47" t="e">
        <f t="shared" si="25"/>
        <v>#DIV/0!</v>
      </c>
      <c r="O22" s="48" t="e">
        <f>SUM(O20:O21)</f>
        <v>#DIV/0!</v>
      </c>
      <c r="P22" s="48" t="e">
        <f>SUM(P20:P21)</f>
        <v>#DIV/0!</v>
      </c>
      <c r="Q22" s="25"/>
      <c r="R22" s="25"/>
      <c r="S22" s="26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</row>
    <row r="23" spans="1:38" s="40" customFormat="1" ht="35.25" customHeight="1">
      <c r="A23" s="38"/>
      <c r="B23" s="39" t="s">
        <v>23</v>
      </c>
      <c r="C23" s="34"/>
      <c r="D23" s="34"/>
      <c r="E23" s="34"/>
      <c r="F23" s="34"/>
      <c r="G23" s="34"/>
      <c r="H23" s="41"/>
      <c r="I23" s="34"/>
      <c r="J23" s="34"/>
      <c r="K23" s="34"/>
      <c r="L23" s="34"/>
      <c r="M23" s="34"/>
      <c r="N23" s="34"/>
      <c r="O23" s="33" t="s">
        <v>13</v>
      </c>
      <c r="P23" s="33" t="s">
        <v>14</v>
      </c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</row>
    <row r="24" spans="1:38" s="5" customFormat="1" ht="35.25" customHeight="1">
      <c r="B24" s="30" t="s">
        <v>18</v>
      </c>
      <c r="C24" s="24">
        <f>C8</f>
        <v>0</v>
      </c>
      <c r="D24" s="24">
        <f>D8</f>
        <v>0</v>
      </c>
      <c r="E24" s="24">
        <f t="shared" ref="E24:F24" si="26">E8</f>
        <v>0</v>
      </c>
      <c r="F24" s="24">
        <f t="shared" si="26"/>
        <v>0</v>
      </c>
      <c r="G24" s="24">
        <f t="shared" ref="G24:H24" si="27">G8</f>
        <v>0</v>
      </c>
      <c r="H24" s="24">
        <f t="shared" si="27"/>
        <v>0</v>
      </c>
      <c r="I24" s="24">
        <f t="shared" ref="I24:J24" si="28">I8</f>
        <v>0</v>
      </c>
      <c r="J24" s="24">
        <f t="shared" si="28"/>
        <v>0</v>
      </c>
      <c r="K24" s="24">
        <f t="shared" ref="K24" si="29">K8</f>
        <v>0</v>
      </c>
      <c r="L24" s="31">
        <f>L8</f>
        <v>0</v>
      </c>
      <c r="M24" s="31">
        <f>M8</f>
        <v>0</v>
      </c>
      <c r="N24" s="31">
        <f>N8</f>
        <v>0</v>
      </c>
      <c r="O24" s="45">
        <f>SUM(C24:N24)</f>
        <v>0</v>
      </c>
      <c r="P24" s="45">
        <f>AVERAGE(C24:N24)</f>
        <v>0</v>
      </c>
      <c r="Q24" s="25"/>
      <c r="R24" s="25"/>
      <c r="S24" s="26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spans="1:38" s="5" customFormat="1" ht="35.25" customHeight="1">
      <c r="B25" s="30" t="s">
        <v>42</v>
      </c>
      <c r="C25" s="24">
        <f>C13</f>
        <v>0</v>
      </c>
      <c r="D25" s="24">
        <f t="shared" ref="D25:F25" si="30">D13</f>
        <v>0</v>
      </c>
      <c r="E25" s="24">
        <f t="shared" si="30"/>
        <v>0</v>
      </c>
      <c r="F25" s="24">
        <f t="shared" si="30"/>
        <v>0</v>
      </c>
      <c r="G25" s="24">
        <f t="shared" ref="G25:H25" si="31">G13</f>
        <v>0</v>
      </c>
      <c r="H25" s="24">
        <f t="shared" si="31"/>
        <v>0</v>
      </c>
      <c r="I25" s="24">
        <f t="shared" ref="I25:J25" si="32">I13</f>
        <v>0</v>
      </c>
      <c r="J25" s="24">
        <f t="shared" si="32"/>
        <v>0</v>
      </c>
      <c r="K25" s="24">
        <f t="shared" ref="K25" si="33">K13</f>
        <v>0</v>
      </c>
      <c r="L25" s="31">
        <f>L13</f>
        <v>0</v>
      </c>
      <c r="M25" s="31">
        <f>M13</f>
        <v>0</v>
      </c>
      <c r="N25" s="31">
        <f>N13</f>
        <v>0</v>
      </c>
      <c r="O25" s="45">
        <f>SUM(C25:N25)</f>
        <v>0</v>
      </c>
      <c r="P25" s="45">
        <f>AVERAGE(C25:N25)</f>
        <v>0</v>
      </c>
      <c r="Q25" s="25"/>
      <c r="R25" s="25"/>
      <c r="S25" s="26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spans="1:38" s="5" customFormat="1" ht="35.25" customHeight="1">
      <c r="B26" s="30" t="s">
        <v>47</v>
      </c>
      <c r="C26" s="24">
        <f>SUM(C24:C25)</f>
        <v>0</v>
      </c>
      <c r="D26" s="24">
        <f t="shared" ref="D26:F26" si="34">SUM(D24:D25)</f>
        <v>0</v>
      </c>
      <c r="E26" s="24">
        <f t="shared" si="34"/>
        <v>0</v>
      </c>
      <c r="F26" s="24">
        <f t="shared" si="34"/>
        <v>0</v>
      </c>
      <c r="G26" s="24">
        <f t="shared" ref="G26:H26" si="35">SUM(G24:G25)</f>
        <v>0</v>
      </c>
      <c r="H26" s="24">
        <f t="shared" si="35"/>
        <v>0</v>
      </c>
      <c r="I26" s="24">
        <f t="shared" ref="I26:J26" si="36">SUM(I24:I25)</f>
        <v>0</v>
      </c>
      <c r="J26" s="24">
        <f t="shared" si="36"/>
        <v>0</v>
      </c>
      <c r="K26" s="24">
        <f t="shared" ref="K26:N26" si="37">SUM(K24:K25)</f>
        <v>0</v>
      </c>
      <c r="L26" s="24">
        <f t="shared" si="37"/>
        <v>0</v>
      </c>
      <c r="M26" s="24">
        <f t="shared" si="37"/>
        <v>0</v>
      </c>
      <c r="N26" s="24">
        <f t="shared" si="37"/>
        <v>0</v>
      </c>
      <c r="O26" s="45">
        <f>SUM(C26:N26)</f>
        <v>0</v>
      </c>
      <c r="P26" s="45">
        <f>AVERAGE(C26:N26)</f>
        <v>0</v>
      </c>
      <c r="Q26" s="25"/>
      <c r="R26" s="25"/>
      <c r="S26" s="26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spans="1:38" s="37" customFormat="1" ht="35.25" customHeight="1">
      <c r="A27" s="35"/>
      <c r="B27" s="36" t="s">
        <v>24</v>
      </c>
      <c r="C27" s="33"/>
      <c r="D27" s="33"/>
      <c r="E27" s="33"/>
      <c r="F27" s="33"/>
      <c r="G27" s="34"/>
      <c r="H27" s="41"/>
      <c r="I27" s="33"/>
      <c r="J27" s="33"/>
      <c r="K27" s="33"/>
      <c r="L27" s="33"/>
      <c r="M27" s="33"/>
      <c r="N27" s="33"/>
      <c r="O27" s="52" t="s">
        <v>14</v>
      </c>
      <c r="P27" s="52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</row>
    <row r="28" spans="1:38" s="5" customFormat="1" ht="35.25" customHeight="1">
      <c r="B28" s="30" t="s">
        <v>25</v>
      </c>
      <c r="C28" s="24" t="e">
        <f>C24/C16</f>
        <v>#DIV/0!</v>
      </c>
      <c r="D28" s="24" t="e">
        <f>D24/D16</f>
        <v>#DIV/0!</v>
      </c>
      <c r="E28" s="24" t="e">
        <f t="shared" ref="E28:F28" si="38">E24/E16</f>
        <v>#DIV/0!</v>
      </c>
      <c r="F28" s="24" t="e">
        <f t="shared" si="38"/>
        <v>#DIV/0!</v>
      </c>
      <c r="G28" s="24" t="e">
        <f t="shared" ref="G28:H28" si="39">G24/G16</f>
        <v>#DIV/0!</v>
      </c>
      <c r="H28" s="24" t="e">
        <f t="shared" si="39"/>
        <v>#DIV/0!</v>
      </c>
      <c r="I28" s="24" t="e">
        <f t="shared" ref="I28:J28" si="40">I24/I16</f>
        <v>#DIV/0!</v>
      </c>
      <c r="J28" s="24" t="e">
        <f t="shared" si="40"/>
        <v>#DIV/0!</v>
      </c>
      <c r="K28" s="24" t="e">
        <f t="shared" ref="K28:N28" si="41">K24/K16</f>
        <v>#DIV/0!</v>
      </c>
      <c r="L28" s="24" t="e">
        <f t="shared" si="41"/>
        <v>#DIV/0!</v>
      </c>
      <c r="M28" s="24" t="e">
        <f t="shared" si="41"/>
        <v>#DIV/0!</v>
      </c>
      <c r="N28" s="24" t="e">
        <f t="shared" si="41"/>
        <v>#DIV/0!</v>
      </c>
      <c r="O28" s="49" t="e">
        <f>AVERAGE(C28:N28)</f>
        <v>#DIV/0!</v>
      </c>
      <c r="P28" s="49"/>
      <c r="Q28" s="25"/>
      <c r="R28" s="25"/>
      <c r="S28" s="26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 spans="1:38" s="5" customFormat="1" ht="35.25" customHeight="1">
      <c r="B29" s="30" t="s">
        <v>49</v>
      </c>
      <c r="C29" s="24">
        <f>IF(C17=0,0,C25/C17)</f>
        <v>0</v>
      </c>
      <c r="D29" s="24">
        <f t="shared" ref="D29:F29" si="42">IF(D17=0,0,D25/D17)</f>
        <v>0</v>
      </c>
      <c r="E29" s="24">
        <f t="shared" si="42"/>
        <v>0</v>
      </c>
      <c r="F29" s="24">
        <f t="shared" si="42"/>
        <v>0</v>
      </c>
      <c r="G29" s="24">
        <f t="shared" ref="G29:H29" si="43">IF(G17=0,0,G25/G17)</f>
        <v>0</v>
      </c>
      <c r="H29" s="24">
        <f t="shared" si="43"/>
        <v>0</v>
      </c>
      <c r="I29" s="24">
        <f t="shared" ref="I29:J29" si="44">IF(I17=0,0,I25/I17)</f>
        <v>0</v>
      </c>
      <c r="J29" s="24">
        <f t="shared" si="44"/>
        <v>0</v>
      </c>
      <c r="K29" s="24">
        <f t="shared" ref="K29:N29" si="45">IF(K17=0,0,K25/K17)</f>
        <v>0</v>
      </c>
      <c r="L29" s="24">
        <f t="shared" si="45"/>
        <v>0</v>
      </c>
      <c r="M29" s="24">
        <f t="shared" si="45"/>
        <v>0</v>
      </c>
      <c r="N29" s="24">
        <f t="shared" si="45"/>
        <v>0</v>
      </c>
      <c r="O29" s="49">
        <f>AVERAGE(C29:N29)</f>
        <v>0</v>
      </c>
      <c r="P29" s="49"/>
      <c r="Q29" s="25"/>
      <c r="R29" s="25"/>
      <c r="S29" s="26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spans="1:38" s="5" customFormat="1" ht="35.25" customHeight="1">
      <c r="B30" s="30" t="s">
        <v>26</v>
      </c>
      <c r="C30" s="24" t="e">
        <f>C26/C18</f>
        <v>#DIV/0!</v>
      </c>
      <c r="D30" s="24" t="e">
        <f t="shared" ref="D30:F30" si="46">D26/D18</f>
        <v>#DIV/0!</v>
      </c>
      <c r="E30" s="24" t="e">
        <f t="shared" si="46"/>
        <v>#DIV/0!</v>
      </c>
      <c r="F30" s="24" t="e">
        <f t="shared" si="46"/>
        <v>#DIV/0!</v>
      </c>
      <c r="G30" s="24" t="e">
        <f t="shared" ref="G30:H30" si="47">G26/G18</f>
        <v>#DIV/0!</v>
      </c>
      <c r="H30" s="24" t="e">
        <f t="shared" si="47"/>
        <v>#DIV/0!</v>
      </c>
      <c r="I30" s="24" t="e">
        <f t="shared" ref="I30:J30" si="48">I26/I18</f>
        <v>#DIV/0!</v>
      </c>
      <c r="J30" s="24" t="e">
        <f t="shared" si="48"/>
        <v>#DIV/0!</v>
      </c>
      <c r="K30" s="24" t="e">
        <f t="shared" ref="K30:L30" si="49">K26/K18</f>
        <v>#DIV/0!</v>
      </c>
      <c r="L30" s="24" t="e">
        <f t="shared" si="49"/>
        <v>#DIV/0!</v>
      </c>
      <c r="M30" s="24" t="e">
        <f>M26/M18</f>
        <v>#DIV/0!</v>
      </c>
      <c r="N30" s="24" t="e">
        <f>N26/N18</f>
        <v>#DIV/0!</v>
      </c>
      <c r="O30" s="49" t="e">
        <f>AVERAGE(C30:N30)</f>
        <v>#DIV/0!</v>
      </c>
      <c r="P30" s="49"/>
      <c r="Q30" s="25"/>
      <c r="R30" s="25"/>
      <c r="S30" s="26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 spans="1:38" ht="26.25">
      <c r="B31" s="23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0"/>
    </row>
    <row r="32" spans="1:38" s="6" customFormat="1" ht="26.25">
      <c r="B32" s="19"/>
      <c r="C32" s="19"/>
      <c r="D32" s="19"/>
      <c r="E32" s="19"/>
      <c r="F32" s="19"/>
      <c r="G32" s="3"/>
      <c r="H32" s="19"/>
      <c r="I32" s="19"/>
      <c r="J32" s="19"/>
      <c r="K32" s="19"/>
      <c r="L32" s="19"/>
      <c r="M32" s="19"/>
      <c r="N32" s="19"/>
      <c r="O32" s="19"/>
      <c r="P32" s="19"/>
      <c r="Q32" s="25"/>
      <c r="R32" s="25"/>
      <c r="S32" s="26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spans="2:38" s="6" customFormat="1" ht="26.25">
      <c r="B33" s="19"/>
      <c r="C33" s="28"/>
      <c r="D33" s="28"/>
      <c r="E33" s="28"/>
      <c r="F33" s="29"/>
      <c r="G33" s="3"/>
      <c r="H33" s="19"/>
      <c r="I33" s="19"/>
      <c r="J33" s="19"/>
      <c r="K33" s="19"/>
      <c r="L33" s="19"/>
      <c r="M33" s="19"/>
      <c r="N33" s="19"/>
      <c r="O33" s="19"/>
      <c r="P33" s="19"/>
      <c r="Q33" s="25"/>
      <c r="R33" s="25"/>
      <c r="S33" s="26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spans="2:38" s="6" customFormat="1" ht="26.25">
      <c r="B34" s="19"/>
      <c r="C34" s="19"/>
      <c r="D34" s="19"/>
      <c r="E34" s="19"/>
      <c r="F34" s="29"/>
      <c r="G34" s="3"/>
      <c r="H34" s="19"/>
      <c r="I34" s="19"/>
      <c r="J34" s="19"/>
      <c r="K34" s="19"/>
      <c r="L34" s="19"/>
      <c r="M34" s="19"/>
      <c r="N34" s="19"/>
      <c r="O34" s="19"/>
      <c r="P34" s="19"/>
      <c r="Q34" s="25"/>
      <c r="R34" s="25"/>
      <c r="S34" s="26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 spans="2:38" s="6" customFormat="1" ht="26.25">
      <c r="B35" s="19"/>
      <c r="C35" s="19"/>
      <c r="D35" s="19"/>
      <c r="E35" s="19"/>
      <c r="F35" s="19"/>
      <c r="G35" s="3"/>
      <c r="H35" s="19"/>
      <c r="I35" s="19"/>
      <c r="J35" s="19"/>
      <c r="K35" s="19"/>
      <c r="L35" s="19"/>
      <c r="M35" s="19"/>
      <c r="N35" s="19"/>
      <c r="O35" s="19"/>
      <c r="P35" s="19"/>
      <c r="Q35" s="25"/>
      <c r="R35" s="25"/>
      <c r="S35" s="26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spans="2:38" s="6" customFormat="1" ht="26.25">
      <c r="B36" s="19"/>
      <c r="C36" s="19"/>
      <c r="D36" s="19"/>
      <c r="E36" s="19"/>
      <c r="F36" s="19"/>
      <c r="G36" s="3"/>
      <c r="H36" s="19"/>
      <c r="I36" s="19"/>
      <c r="J36" s="19"/>
      <c r="K36" s="19"/>
      <c r="L36" s="19"/>
      <c r="M36" s="19"/>
      <c r="N36" s="19"/>
      <c r="O36" s="19"/>
      <c r="P36" s="19"/>
      <c r="Q36" s="25"/>
      <c r="R36" s="25"/>
      <c r="S36" s="26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 spans="2:38" s="1" customFormat="1" ht="26.25">
      <c r="B37" s="19"/>
      <c r="C37" s="19"/>
      <c r="D37" s="19"/>
      <c r="E37" s="19"/>
      <c r="F37" s="19"/>
      <c r="G37" s="3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1" customFormat="1" ht="26.25">
      <c r="B38" s="19"/>
      <c r="C38" s="19"/>
      <c r="D38" s="19"/>
      <c r="E38" s="19"/>
      <c r="F38" s="19"/>
      <c r="G38" s="3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" customFormat="1" ht="26.25">
      <c r="B39" s="19"/>
      <c r="C39" s="19"/>
      <c r="D39" s="19"/>
      <c r="E39" s="19"/>
      <c r="F39" s="19"/>
      <c r="G39" s="3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1" customFormat="1" ht="26.25">
      <c r="B40" s="19"/>
      <c r="C40" s="19"/>
      <c r="D40" s="19"/>
      <c r="E40" s="19"/>
      <c r="F40" s="19"/>
      <c r="G40" s="3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1" customFormat="1" ht="26.25">
      <c r="B41" s="19"/>
      <c r="C41" s="19"/>
      <c r="D41" s="19"/>
      <c r="E41" s="19"/>
      <c r="F41" s="19"/>
      <c r="G41" s="3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" customFormat="1" ht="26.25">
      <c r="B42" s="19"/>
      <c r="C42" s="19"/>
      <c r="D42" s="19"/>
      <c r="E42" s="19"/>
      <c r="F42" s="19"/>
      <c r="G42" s="3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1" customFormat="1" ht="26.25">
      <c r="B43" s="19"/>
      <c r="C43" s="19"/>
      <c r="D43" s="19"/>
      <c r="E43" s="19"/>
      <c r="F43" s="19"/>
      <c r="G43" s="3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" customFormat="1" ht="26.25">
      <c r="B44" s="19"/>
      <c r="C44" s="19"/>
      <c r="D44" s="19"/>
      <c r="E44" s="19"/>
      <c r="F44" s="19"/>
      <c r="G44" s="3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" customFormat="1" ht="26.25">
      <c r="B45" s="19"/>
      <c r="C45" s="19"/>
      <c r="D45" s="19"/>
      <c r="E45" s="19"/>
      <c r="F45" s="19"/>
      <c r="G45" s="3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" customFormat="1" ht="26.25">
      <c r="B46" s="19"/>
      <c r="C46" s="19"/>
      <c r="D46" s="19"/>
      <c r="E46" s="19"/>
      <c r="F46" s="19"/>
      <c r="G46" s="3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" customFormat="1" ht="26.25">
      <c r="B47" s="19"/>
      <c r="C47" s="19"/>
      <c r="D47" s="19"/>
      <c r="E47" s="19"/>
      <c r="F47" s="19"/>
      <c r="G47" s="3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" customFormat="1" ht="36" customHeight="1">
      <c r="B48" s="19"/>
      <c r="C48" s="19"/>
      <c r="D48" s="19"/>
      <c r="E48" s="19"/>
      <c r="F48" s="19"/>
      <c r="G48" s="3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7:7" s="1" customFormat="1">
      <c r="G49" s="3"/>
    </row>
    <row r="50" spans="7:7" s="1" customFormat="1">
      <c r="G50" s="3"/>
    </row>
    <row r="51" spans="7:7" s="1" customFormat="1">
      <c r="G51" s="3"/>
    </row>
    <row r="52" spans="7:7" s="1" customFormat="1">
      <c r="G52" s="3"/>
    </row>
    <row r="53" spans="7:7" s="1" customFormat="1">
      <c r="G53" s="3"/>
    </row>
    <row r="54" spans="7:7" s="1" customFormat="1">
      <c r="G54" s="3"/>
    </row>
    <row r="55" spans="7:7" s="1" customFormat="1">
      <c r="G55" s="3"/>
    </row>
    <row r="56" spans="7:7" s="1" customFormat="1">
      <c r="G56" s="3"/>
    </row>
    <row r="57" spans="7:7" s="1" customFormat="1">
      <c r="G57" s="3"/>
    </row>
    <row r="58" spans="7:7" s="1" customFormat="1">
      <c r="G58" s="3"/>
    </row>
    <row r="59" spans="7:7" s="1" customFormat="1">
      <c r="G59" s="3"/>
    </row>
    <row r="60" spans="7:7" s="1" customFormat="1">
      <c r="G60" s="3"/>
    </row>
    <row r="61" spans="7:7" s="1" customFormat="1">
      <c r="G61" s="3"/>
    </row>
    <row r="62" spans="7:7" s="1" customFormat="1">
      <c r="G62" s="3"/>
    </row>
    <row r="63" spans="7:7" s="1" customFormat="1">
      <c r="G63" s="3"/>
    </row>
    <row r="64" spans="7:7" s="1" customFormat="1">
      <c r="G64" s="3"/>
    </row>
    <row r="65" spans="2:16" s="1" customFormat="1">
      <c r="G65" s="3"/>
    </row>
    <row r="66" spans="2:16" s="1" customFormat="1" ht="27" customHeight="1">
      <c r="G66" s="3"/>
    </row>
    <row r="67" spans="2:16" s="1" customFormat="1">
      <c r="G67" s="3"/>
    </row>
    <row r="68" spans="2:16" s="1" customFormat="1">
      <c r="G68" s="3"/>
    </row>
    <row r="69" spans="2:16" s="1" customFormat="1">
      <c r="G69" s="3"/>
    </row>
    <row r="70" spans="2:16" s="1" customFormat="1">
      <c r="B70" s="2"/>
      <c r="C70" s="2"/>
      <c r="D70" s="2"/>
      <c r="E70" s="2"/>
      <c r="F70" s="2"/>
      <c r="G70" s="4"/>
      <c r="H70" s="2"/>
      <c r="I70" s="2"/>
      <c r="J70" s="2"/>
      <c r="K70" s="2"/>
      <c r="L70" s="2"/>
      <c r="M70" s="2"/>
      <c r="N70" s="2"/>
      <c r="O70" s="2"/>
      <c r="P70" s="2"/>
    </row>
    <row r="71" spans="2:16" s="1" customFormat="1">
      <c r="B71" s="2"/>
      <c r="C71" s="2"/>
      <c r="D71" s="2"/>
      <c r="E71" s="2"/>
      <c r="F71" s="2"/>
      <c r="G71" s="4"/>
      <c r="H71" s="2"/>
      <c r="I71" s="2"/>
      <c r="J71" s="2"/>
      <c r="K71" s="2"/>
      <c r="L71" s="2"/>
      <c r="M71" s="2"/>
      <c r="N71" s="2"/>
      <c r="O71" s="2"/>
      <c r="P71" s="2"/>
    </row>
    <row r="72" spans="2:16" s="1" customFormat="1">
      <c r="B72" s="2"/>
      <c r="C72" s="2"/>
      <c r="D72" s="2"/>
      <c r="E72" s="2"/>
      <c r="F72" s="2"/>
      <c r="G72" s="4"/>
      <c r="H72" s="2"/>
      <c r="I72" s="2"/>
      <c r="J72" s="2"/>
      <c r="K72" s="2"/>
      <c r="L72" s="2"/>
      <c r="M72" s="2"/>
      <c r="N72" s="2"/>
      <c r="O72" s="2"/>
      <c r="P72" s="2"/>
    </row>
    <row r="73" spans="2:16" s="1" customFormat="1">
      <c r="B73" s="2"/>
      <c r="C73" s="2"/>
      <c r="D73" s="2"/>
      <c r="E73" s="2"/>
      <c r="F73" s="2"/>
      <c r="G73" s="4"/>
      <c r="H73" s="2"/>
      <c r="I73" s="2"/>
      <c r="J73" s="2"/>
      <c r="K73" s="2"/>
      <c r="L73" s="2"/>
      <c r="M73" s="2"/>
      <c r="N73" s="2"/>
      <c r="O73" s="2"/>
      <c r="P73" s="2"/>
    </row>
    <row r="74" spans="2:16" s="1" customFormat="1">
      <c r="B74" s="2"/>
      <c r="C74" s="2"/>
      <c r="D74" s="2"/>
      <c r="E74" s="2"/>
      <c r="F74" s="2"/>
      <c r="G74" s="4"/>
      <c r="H74" s="2"/>
      <c r="I74" s="2"/>
      <c r="J74" s="2"/>
      <c r="K74" s="2"/>
      <c r="L74" s="2"/>
      <c r="M74" s="2"/>
      <c r="N74" s="2"/>
      <c r="O74" s="2"/>
      <c r="P74" s="2"/>
    </row>
  </sheetData>
  <sheetProtection formatCells="0" formatColumns="0" formatRows="0"/>
  <mergeCells count="8">
    <mergeCell ref="O29:P29"/>
    <mergeCell ref="O30:P30"/>
    <mergeCell ref="B2:AL2"/>
    <mergeCell ref="B3:AL3"/>
    <mergeCell ref="O9:P9"/>
    <mergeCell ref="O14:P14"/>
    <mergeCell ref="O27:P27"/>
    <mergeCell ref="O28:P28"/>
  </mergeCells>
  <printOptions horizontalCentered="1"/>
  <pageMargins left="0.19685039370078741" right="0.19685039370078741" top="0.51181102362204722" bottom="0.19685039370078741" header="0" footer="0"/>
  <pageSetup paperSize="8"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B2:G26"/>
  <sheetViews>
    <sheetView showGridLines="0" tabSelected="1" zoomScale="140" zoomScaleNormal="140" zoomScaleSheetLayoutView="115" workbookViewId="0">
      <selection activeCell="I3" sqref="I3"/>
    </sheetView>
  </sheetViews>
  <sheetFormatPr defaultRowHeight="15"/>
  <cols>
    <col min="1" max="1" width="4.5703125" customWidth="1"/>
    <col min="2" max="7" width="16.5703125" customWidth="1"/>
    <col min="8" max="8" width="11.5703125" customWidth="1"/>
    <col min="9" max="11" width="15.140625" customWidth="1"/>
  </cols>
  <sheetData>
    <row r="2" spans="2:7" ht="31.5">
      <c r="B2" s="53" t="s">
        <v>53</v>
      </c>
      <c r="C2" s="53"/>
      <c r="D2" s="53"/>
      <c r="E2" s="53"/>
      <c r="F2" s="53"/>
      <c r="G2" s="53"/>
    </row>
    <row r="3" spans="2:7" ht="15.75" thickBot="1">
      <c r="B3" t="s">
        <v>64</v>
      </c>
    </row>
    <row r="4" spans="2:7" ht="16.5" thickBot="1">
      <c r="B4" s="54" t="s">
        <v>65</v>
      </c>
      <c r="C4" s="56" t="s">
        <v>58</v>
      </c>
      <c r="D4" s="57"/>
      <c r="E4" s="58"/>
      <c r="F4" s="56" t="s">
        <v>55</v>
      </c>
      <c r="G4" s="58"/>
    </row>
    <row r="5" spans="2:7" ht="16.5" thickBot="1">
      <c r="B5" s="55"/>
      <c r="C5" s="11" t="s">
        <v>59</v>
      </c>
      <c r="D5" s="11" t="s">
        <v>60</v>
      </c>
      <c r="E5" s="11" t="s">
        <v>57</v>
      </c>
      <c r="F5" s="11" t="s">
        <v>56</v>
      </c>
      <c r="G5" s="11" t="s">
        <v>57</v>
      </c>
    </row>
    <row r="6" spans="2:7" ht="15.75" thickBot="1">
      <c r="B6" s="12" t="s">
        <v>61</v>
      </c>
      <c r="C6" s="13">
        <f>'Energy Factory 2024'!O6</f>
        <v>0</v>
      </c>
      <c r="D6" s="13">
        <f>C6*3.6</f>
        <v>0</v>
      </c>
      <c r="E6" s="14" t="e">
        <f>D6/$D$8</f>
        <v>#DIV/0!</v>
      </c>
      <c r="F6" s="13">
        <f>'Energy Factory 2024'!O8</f>
        <v>0</v>
      </c>
      <c r="G6" s="14" t="e">
        <f>F6/$F$8</f>
        <v>#DIV/0!</v>
      </c>
    </row>
    <row r="7" spans="2:7" ht="30.75" thickBot="1">
      <c r="B7" s="12" t="s">
        <v>62</v>
      </c>
      <c r="C7" s="13">
        <f>'Energy Factory 2024'!O11</f>
        <v>0</v>
      </c>
      <c r="D7" s="13">
        <f>(C7*49.73)</f>
        <v>0</v>
      </c>
      <c r="E7" s="14" t="e">
        <f>D7/$D$8</f>
        <v>#DIV/0!</v>
      </c>
      <c r="F7" s="13">
        <f>'Energy Factory 2024'!O13</f>
        <v>0</v>
      </c>
      <c r="G7" s="14" t="e">
        <f>F7/$F$8</f>
        <v>#DIV/0!</v>
      </c>
    </row>
    <row r="8" spans="2:7" ht="15.75" thickBot="1">
      <c r="B8" s="15" t="s">
        <v>13</v>
      </c>
      <c r="C8" s="16"/>
      <c r="D8" s="17">
        <f>SUM(D6:D7)</f>
        <v>0</v>
      </c>
      <c r="E8" s="18" t="e">
        <f>SUM(E6:E7)</f>
        <v>#DIV/0!</v>
      </c>
      <c r="F8" s="17">
        <f>SUM(F6:F7)</f>
        <v>0</v>
      </c>
      <c r="G8" s="18" t="e">
        <f>SUM(G6:G7)</f>
        <v>#DIV/0!</v>
      </c>
    </row>
    <row r="12" spans="2:7" ht="31.5">
      <c r="B12" s="53" t="s">
        <v>53</v>
      </c>
      <c r="C12" s="53"/>
      <c r="D12" s="53"/>
      <c r="E12" s="53"/>
      <c r="F12" s="53"/>
      <c r="G12" s="53"/>
    </row>
    <row r="13" spans="2:7" ht="15.75" thickBot="1">
      <c r="B13" t="s">
        <v>54</v>
      </c>
    </row>
    <row r="14" spans="2:7" ht="16.5" thickBot="1">
      <c r="B14" s="54" t="s">
        <v>63</v>
      </c>
      <c r="C14" s="56" t="s">
        <v>58</v>
      </c>
      <c r="D14" s="57"/>
      <c r="E14" s="58"/>
      <c r="F14" s="56" t="s">
        <v>55</v>
      </c>
      <c r="G14" s="58"/>
    </row>
    <row r="15" spans="2:7" ht="16.5" thickBot="1">
      <c r="B15" s="55"/>
      <c r="C15" s="11" t="s">
        <v>59</v>
      </c>
      <c r="D15" s="11" t="s">
        <v>60</v>
      </c>
      <c r="E15" s="11" t="s">
        <v>57</v>
      </c>
      <c r="F15" s="11" t="s">
        <v>56</v>
      </c>
      <c r="G15" s="11" t="s">
        <v>57</v>
      </c>
    </row>
    <row r="16" spans="2:7" ht="15.75" thickBot="1">
      <c r="B16" s="12" t="s">
        <v>61</v>
      </c>
      <c r="C16" s="13">
        <v>1769900</v>
      </c>
      <c r="D16" s="13">
        <v>6371640</v>
      </c>
      <c r="E16" s="14">
        <v>0.42623733766268301</v>
      </c>
      <c r="F16" s="13">
        <v>7657462.7699999996</v>
      </c>
      <c r="G16" s="14" t="e">
        <f>F16/$F$8</f>
        <v>#DIV/0!</v>
      </c>
    </row>
    <row r="17" spans="2:7" ht="30.75" thickBot="1">
      <c r="B17" s="12" t="s">
        <v>62</v>
      </c>
      <c r="C17" s="13">
        <v>172470</v>
      </c>
      <c r="D17" s="13">
        <v>8576933.0999999996</v>
      </c>
      <c r="E17" s="14">
        <v>0.57376266233731699</v>
      </c>
      <c r="F17" s="13">
        <v>3094870.8000000003</v>
      </c>
      <c r="G17" s="14" t="e">
        <f>F17/$F$8</f>
        <v>#DIV/0!</v>
      </c>
    </row>
    <row r="18" spans="2:7" ht="15.75" thickBot="1">
      <c r="B18" s="15" t="s">
        <v>35</v>
      </c>
      <c r="C18" s="16"/>
      <c r="D18" s="17">
        <f>SUM(D16:D17)</f>
        <v>14948573.1</v>
      </c>
      <c r="E18" s="18">
        <f>SUM(E16:E17)</f>
        <v>1</v>
      </c>
      <c r="F18" s="17">
        <f>SUM(F16:F17)</f>
        <v>10752333.57</v>
      </c>
      <c r="G18" s="18" t="e">
        <f>SUM(G16:G17)</f>
        <v>#DIV/0!</v>
      </c>
    </row>
    <row r="20" spans="2:7" ht="31.5">
      <c r="B20" s="53" t="s">
        <v>38</v>
      </c>
      <c r="C20" s="53"/>
      <c r="D20" s="53"/>
      <c r="E20" s="53"/>
      <c r="F20" s="53"/>
      <c r="G20" s="53"/>
    </row>
    <row r="21" spans="2:7" ht="15.75" thickBot="1">
      <c r="B21" t="s">
        <v>52</v>
      </c>
    </row>
    <row r="22" spans="2:7" ht="16.5" thickBot="1">
      <c r="B22" s="54" t="s">
        <v>48</v>
      </c>
      <c r="C22" s="56" t="s">
        <v>28</v>
      </c>
      <c r="D22" s="57"/>
      <c r="E22" s="58"/>
      <c r="F22" s="56" t="s">
        <v>29</v>
      </c>
      <c r="G22" s="58"/>
    </row>
    <row r="23" spans="2:7" ht="16.5" thickBot="1">
      <c r="B23" s="55"/>
      <c r="C23" s="11" t="s">
        <v>30</v>
      </c>
      <c r="D23" s="11" t="s">
        <v>31</v>
      </c>
      <c r="E23" s="11" t="s">
        <v>32</v>
      </c>
      <c r="F23" s="11" t="s">
        <v>33</v>
      </c>
      <c r="G23" s="11" t="s">
        <v>32</v>
      </c>
    </row>
    <row r="24" spans="2:7" ht="15.75" thickBot="1">
      <c r="B24" s="12" t="s">
        <v>34</v>
      </c>
      <c r="C24" s="13">
        <f>'Energy Factory 2024'!O24</f>
        <v>0</v>
      </c>
      <c r="D24" s="13">
        <f>C24*3.6</f>
        <v>0</v>
      </c>
      <c r="E24" s="14" t="e">
        <f>D24/$D$8</f>
        <v>#DIV/0!</v>
      </c>
      <c r="F24" s="13">
        <f>'Energy Factory 2024'!O26</f>
        <v>0</v>
      </c>
      <c r="G24" s="14" t="e">
        <f>F24/$F$8</f>
        <v>#DIV/0!</v>
      </c>
    </row>
    <row r="25" spans="2:7" ht="30.75" thickBot="1">
      <c r="B25" s="12" t="s">
        <v>50</v>
      </c>
      <c r="C25" s="13">
        <f>'Energy Factory 2024'!O29</f>
        <v>0</v>
      </c>
      <c r="D25" s="13">
        <f>(C25*49.73)</f>
        <v>0</v>
      </c>
      <c r="E25" s="14" t="e">
        <f>D25/$D$8</f>
        <v>#DIV/0!</v>
      </c>
      <c r="F25" s="13">
        <f>'Energy Factory 2024'!O31</f>
        <v>0</v>
      </c>
      <c r="G25" s="14" t="e">
        <f>F25/$F$8</f>
        <v>#DIV/0!</v>
      </c>
    </row>
    <row r="26" spans="2:7" ht="15.75" thickBot="1">
      <c r="B26" s="15" t="s">
        <v>35</v>
      </c>
      <c r="C26" s="16"/>
      <c r="D26" s="17">
        <f>SUM(D24:D25)</f>
        <v>0</v>
      </c>
      <c r="E26" s="18" t="e">
        <f>SUM(E24:E25)</f>
        <v>#DIV/0!</v>
      </c>
      <c r="F26" s="17">
        <f>SUM(F24:F25)</f>
        <v>0</v>
      </c>
      <c r="G26" s="18" t="e">
        <f>SUM(G24:G25)</f>
        <v>#DIV/0!</v>
      </c>
    </row>
  </sheetData>
  <mergeCells count="12">
    <mergeCell ref="B20:G20"/>
    <mergeCell ref="B22:B23"/>
    <mergeCell ref="C22:E22"/>
    <mergeCell ref="F22:G22"/>
    <mergeCell ref="B14:B15"/>
    <mergeCell ref="C14:E14"/>
    <mergeCell ref="F14:G14"/>
    <mergeCell ref="B2:G2"/>
    <mergeCell ref="B4:B5"/>
    <mergeCell ref="C4:E4"/>
    <mergeCell ref="F4:G4"/>
    <mergeCell ref="B12:G12"/>
  </mergeCells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Energy Factory 2024</vt:lpstr>
      <vt:lpstr>สรุปสัดส่วนพลังงาน</vt:lpstr>
      <vt:lpstr>'Energy Factory 2024'!Print_Area</vt:lpstr>
      <vt:lpstr>สรุปสัดส่วนพลังงาน!Print_Area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Krissada Wannaso</cp:lastModifiedBy>
  <cp:lastPrinted>2023-01-27T01:36:13Z</cp:lastPrinted>
  <dcterms:created xsi:type="dcterms:W3CDTF">2015-03-19T03:15:24Z</dcterms:created>
  <dcterms:modified xsi:type="dcterms:W3CDTF">2026-02-23T08:40:31Z</dcterms:modified>
</cp:coreProperties>
</file>